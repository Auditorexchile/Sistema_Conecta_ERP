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Documentación General del SGSI\Riesgos\"/>
    </mc:Choice>
  </mc:AlternateContent>
  <xr:revisionPtr revIDLastSave="0" documentId="8_{C13C9DA4-15B7-4B3A-9DA8-6DF140655A18}" xr6:coauthVersionLast="47" xr6:coauthVersionMax="47" xr10:uidLastSave="{00000000-0000-0000-0000-000000000000}"/>
  <bookViews>
    <workbookView xWindow="-120" yWindow="-120" windowWidth="20640" windowHeight="12270" xr2:uid="{B4ABD917-0A8D-467C-A059-EC32078F7DF5}"/>
  </bookViews>
  <sheets>
    <sheet name="Gestión de Incidentes " sheetId="1" r:id="rId1"/>
    <sheet name="Dashboard Visu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</calcChain>
</file>

<file path=xl/sharedStrings.xml><?xml version="1.0" encoding="utf-8"?>
<sst xmlns="http://schemas.openxmlformats.org/spreadsheetml/2006/main" count="297" uniqueCount="159">
  <si>
    <t>ID Incidente</t>
  </si>
  <si>
    <t>Fecha y Hora</t>
  </si>
  <si>
    <t>Tipo de Incidente</t>
  </si>
  <si>
    <t>Descripción</t>
  </si>
  <si>
    <t>Severidad</t>
  </si>
  <si>
    <t>Estado</t>
  </si>
  <si>
    <t>Responsable</t>
  </si>
  <si>
    <t>Acciones Correctivas</t>
  </si>
  <si>
    <t>Fecha de Resolución</t>
  </si>
  <si>
    <t>Impacto en el Negocio</t>
  </si>
  <si>
    <t>Notas Adicionales</t>
  </si>
  <si>
    <t>INC-001</t>
  </si>
  <si>
    <t>Acceso No Autorizado</t>
  </si>
  <si>
    <t>Intento de acceso no autorizado al servidor crítico</t>
  </si>
  <si>
    <t>Alto</t>
  </si>
  <si>
    <t>Resuelto</t>
  </si>
  <si>
    <t>María Alejandra Muñoz</t>
  </si>
  <si>
    <t>Bloqueo de IP, cambio de credenciales</t>
  </si>
  <si>
    <t>Interrupción mínima</t>
  </si>
  <si>
    <t>Incidente controlado rápidamente</t>
  </si>
  <si>
    <t>INC-002</t>
  </si>
  <si>
    <t>Phishing</t>
  </si>
  <si>
    <t>Correo sospechoso enviado a empleados</t>
  </si>
  <si>
    <t>Medio</t>
  </si>
  <si>
    <t>En Proceso</t>
  </si>
  <si>
    <t>Juan Andrés Rojas</t>
  </si>
  <si>
    <t>Capacitación al equipo, análisis forense</t>
  </si>
  <si>
    <t>-</t>
  </si>
  <si>
    <t>Riesgo de datos expuestos</t>
  </si>
  <si>
    <t>Investigación en curso</t>
  </si>
  <si>
    <t>INC-003</t>
  </si>
  <si>
    <t>Malware</t>
  </si>
  <si>
    <t>Detección de software malicioso en un equipo</t>
  </si>
  <si>
    <t>Crítico</t>
  </si>
  <si>
    <t>Abierto</t>
  </si>
  <si>
    <t>Mauricio Colomera</t>
  </si>
  <si>
    <t>Análisis en curso</t>
  </si>
  <si>
    <t>Pérdida parcial de datos</t>
  </si>
  <si>
    <t>Incidente prioritario</t>
  </si>
  <si>
    <t>INC-004</t>
  </si>
  <si>
    <t>Pérdida de Datos</t>
  </si>
  <si>
    <t>Fallo en copia de seguridad</t>
  </si>
  <si>
    <t>Misael Caro</t>
  </si>
  <si>
    <t>Restauración desde respaldo alternativo</t>
  </si>
  <si>
    <t>Interrupción temporal</t>
  </si>
  <si>
    <t>Respuesta efectiva</t>
  </si>
  <si>
    <t>INC-005</t>
  </si>
  <si>
    <t>Ataque de Red</t>
  </si>
  <si>
    <t>Caída de conectividad en la red principal</t>
  </si>
  <si>
    <t>Marcelo Soto</t>
  </si>
  <si>
    <t>Reconfiguración del firewall</t>
  </si>
  <si>
    <t>Problema técnico resuelto</t>
  </si>
  <si>
    <t>INC-006</t>
  </si>
  <si>
    <t>Error de Software</t>
  </si>
  <si>
    <t>Falla en la aplicación web principal</t>
  </si>
  <si>
    <t>Bajo</t>
  </si>
  <si>
    <t>Cerrado</t>
  </si>
  <si>
    <t>Jonathan Nova</t>
  </si>
  <si>
    <t>Actualización del módulo afectado</t>
  </si>
  <si>
    <t>Sin impacto significativo</t>
  </si>
  <si>
    <t>Solucionado mediante parcheo</t>
  </si>
  <si>
    <t>INC-007</t>
  </si>
  <si>
    <t>Hardware Dañado</t>
  </si>
  <si>
    <t>Falla en el disco duro de un servidor</t>
  </si>
  <si>
    <t>Alexis Pradenas</t>
  </si>
  <si>
    <t>Reemplazo del disco y restauración de datos</t>
  </si>
  <si>
    <t>Interrupción media</t>
  </si>
  <si>
    <t>Incidente crítico mitigado</t>
  </si>
  <si>
    <t>INC-008</t>
  </si>
  <si>
    <t>Base de Datos Comprometida</t>
  </si>
  <si>
    <t>Inconsistencia en la base de datos</t>
  </si>
  <si>
    <t>Cristian Maurelia</t>
  </si>
  <si>
    <t>Validación y reparación de registros</t>
  </si>
  <si>
    <t>Pérdida temporal de datos</t>
  </si>
  <si>
    <t>INC-009</t>
  </si>
  <si>
    <t>Usuario Final Afectado</t>
  </si>
  <si>
    <t>Empleado reporta bloqueo de cuenta</t>
  </si>
  <si>
    <t>Cecilia Cayuñir</t>
  </si>
  <si>
    <t>Desbloqueo de cuenta y restablecimiento de contraseña</t>
  </si>
  <si>
    <t>Solución rápida</t>
  </si>
  <si>
    <t>INC-010</t>
  </si>
  <si>
    <t>Copias de Seguridad Fallidas</t>
  </si>
  <si>
    <t>Fallo en la ejecución de copias de seguridad</t>
  </si>
  <si>
    <t>Raúl Bello</t>
  </si>
  <si>
    <t>Reparación del script de copia de seguridad</t>
  </si>
  <si>
    <t>Riesgo de pérdida de datos</t>
  </si>
  <si>
    <t>Script corregido</t>
  </si>
  <si>
    <t>INC-011</t>
  </si>
  <si>
    <t>Seguridad Física Comprometida</t>
  </si>
  <si>
    <t>Intrusión detectada en las instalaciones</t>
  </si>
  <si>
    <t>Javier Curihuinca</t>
  </si>
  <si>
    <t>Investigación en curso y revisión de cámaras</t>
  </si>
  <si>
    <t>Riesgo de robo de equipos</t>
  </si>
  <si>
    <t>Prioridad máxima</t>
  </si>
  <si>
    <t>INC-012</t>
  </si>
  <si>
    <t>Empleados reciben correos fraudulentos</t>
  </si>
  <si>
    <t>Capacitación al equipo</t>
  </si>
  <si>
    <t>Medidas preventivas implementadas</t>
  </si>
  <si>
    <t>INC-013</t>
  </si>
  <si>
    <t>Intento de acceso a cuentas privilegiadas</t>
  </si>
  <si>
    <t>Bloqueo de IP y auditoría de cuentas</t>
  </si>
  <si>
    <t>INC-014</t>
  </si>
  <si>
    <t>Detección de ransomware en un equipo</t>
  </si>
  <si>
    <t>INC-015</t>
  </si>
  <si>
    <t>Fallo en la sincronización de datos en la nube</t>
  </si>
  <si>
    <t>Restauración desde copia local</t>
  </si>
  <si>
    <t>INC-016</t>
  </si>
  <si>
    <t>Ataque DDoS detectado en el servidor principal</t>
  </si>
  <si>
    <t>Implementación de medidas de mitigación</t>
  </si>
  <si>
    <t>Ataque mitigado</t>
  </si>
  <si>
    <t>INC-017</t>
  </si>
  <si>
    <t>Falla en el sistema de autenticación</t>
  </si>
  <si>
    <t>Actualización del sistema</t>
  </si>
  <si>
    <t>INC-018</t>
  </si>
  <si>
    <t>Sobrecalentamiento de un servidor</t>
  </si>
  <si>
    <t>Reemplazo de ventiladores y limpieza</t>
  </si>
  <si>
    <t>Mantenimiento realizado</t>
  </si>
  <si>
    <t>INC-019</t>
  </si>
  <si>
    <t>Pérdida de integridad en la base de datos</t>
  </si>
  <si>
    <t>Recuperación de registros y validación</t>
  </si>
  <si>
    <t>INC-020</t>
  </si>
  <si>
    <t>Empleado reporta error en la autenticación multifactor</t>
  </si>
  <si>
    <t>Configuración corregida</t>
  </si>
  <si>
    <t>INC-021</t>
  </si>
  <si>
    <t>Fallo en la replicación de datos</t>
  </si>
  <si>
    <t>Corrección del proceso de replicación</t>
  </si>
  <si>
    <t>Incidente controlado</t>
  </si>
  <si>
    <t>INC-022</t>
  </si>
  <si>
    <t>Robo de un dispositivo en las instalaciones</t>
  </si>
  <si>
    <t>Investigación en curso y revisión de políticas</t>
  </si>
  <si>
    <t>Riesgo de exposición de datos</t>
  </si>
  <si>
    <t>INC-023</t>
  </si>
  <si>
    <t>Campaña de phishing dirigida a empleados</t>
  </si>
  <si>
    <t>INC-024</t>
  </si>
  <si>
    <t>Intento de acceso a cuentas administrativas</t>
  </si>
  <si>
    <t>INC-025</t>
  </si>
  <si>
    <t>Detección de spyware en un equipo</t>
  </si>
  <si>
    <t>Eliminación del malware y análisis forense</t>
  </si>
  <si>
    <t>Incidente mitigado</t>
  </si>
  <si>
    <t>INC-026</t>
  </si>
  <si>
    <t>Fallo en la replicación de bases de datos</t>
  </si>
  <si>
    <t>Restauración desde copia alternativa</t>
  </si>
  <si>
    <t>INC-027</t>
  </si>
  <si>
    <t>Ataque de fuerza bruta detectado</t>
  </si>
  <si>
    <t>Implementación de límites de intentos de acceso</t>
  </si>
  <si>
    <t>INC-028</t>
  </si>
  <si>
    <t>Falla en la integración con un sistema externo</t>
  </si>
  <si>
    <t>Actualización del módulo de integración</t>
  </si>
  <si>
    <t>INC-029</t>
  </si>
  <si>
    <t>Falla en la fuente de poder de un servidor</t>
  </si>
  <si>
    <t>Reemplazo de la fuente de poder</t>
  </si>
  <si>
    <t>INC-030</t>
  </si>
  <si>
    <t>Inconsistencia en la base de datos principal</t>
  </si>
  <si>
    <t>Incidentes por Tipo</t>
  </si>
  <si>
    <t>tabla de resumen</t>
  </si>
  <si>
    <t xml:space="preserve">Tipo de Incidente </t>
  </si>
  <si>
    <t xml:space="preserve">Acceso No Autorizado </t>
  </si>
  <si>
    <t>Cantidad</t>
  </si>
  <si>
    <t>Planilla de Gestión de Incidentes (30 Registros)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</si>
</sst>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2C2C36"/>
      <name val="Arial"/>
      <family val="2"/>
    </font>
    <font>
      <sz val="9.6"/>
      <color theme="1"/>
      <name val="Arial"/>
      <family val="2"/>
    </font>
    <font>
      <sz val="12"/>
      <color rgb="FF262626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2" fontId="2" fillId="0" borderId="0" xfId="0" applyNumberFormat="1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3928-FCFB-4D72-B824-128D5D1BA0EB}">
  <dimension ref="A2:K34"/>
  <sheetViews>
    <sheetView tabSelected="1" workbookViewId="0">
      <selection activeCell="D5" sqref="D5"/>
    </sheetView>
  </sheetViews>
  <sheetFormatPr baseColWidth="10" defaultRowHeight="15" x14ac:dyDescent="0.25"/>
  <cols>
    <col min="2" max="2" width="15.28515625" bestFit="1" customWidth="1"/>
    <col min="3" max="3" width="11" bestFit="1" customWidth="1"/>
    <col min="4" max="4" width="35.85546875" customWidth="1"/>
    <col min="8" max="8" width="27.85546875" customWidth="1"/>
    <col min="9" max="9" width="15.28515625" bestFit="1" customWidth="1"/>
  </cols>
  <sheetData>
    <row r="2" spans="1:11" ht="18" x14ac:dyDescent="0.25">
      <c r="A2" s="1" t="s">
        <v>158</v>
      </c>
    </row>
    <row r="3" spans="1:11" ht="18" x14ac:dyDescent="0.25">
      <c r="A3" s="1"/>
    </row>
    <row r="4" spans="1:11" ht="25.5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ht="63.75" x14ac:dyDescent="0.25">
      <c r="A5" s="3" t="s">
        <v>11</v>
      </c>
      <c r="B5" s="4">
        <v>45200.427083333336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4">
        <v>45200.520833333336</v>
      </c>
      <c r="J5" s="3" t="s">
        <v>18</v>
      </c>
      <c r="K5" s="3" t="s">
        <v>19</v>
      </c>
    </row>
    <row r="6" spans="1:11" ht="51" x14ac:dyDescent="0.25">
      <c r="A6" s="3" t="s">
        <v>20</v>
      </c>
      <c r="B6" s="4">
        <v>45201.614583333336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29</v>
      </c>
    </row>
    <row r="7" spans="1:11" ht="51" x14ac:dyDescent="0.25">
      <c r="A7" s="3" t="s">
        <v>30</v>
      </c>
      <c r="B7" s="4">
        <v>45202.388888888891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27</v>
      </c>
      <c r="J7" s="3" t="s">
        <v>37</v>
      </c>
      <c r="K7" s="3" t="s">
        <v>38</v>
      </c>
    </row>
    <row r="8" spans="1:11" ht="51" x14ac:dyDescent="0.25">
      <c r="A8" s="3" t="s">
        <v>39</v>
      </c>
      <c r="B8" s="4">
        <v>45203.666666666664</v>
      </c>
      <c r="C8" s="3" t="s">
        <v>40</v>
      </c>
      <c r="D8" s="3" t="s">
        <v>41</v>
      </c>
      <c r="E8" s="3" t="s">
        <v>14</v>
      </c>
      <c r="F8" s="3" t="s">
        <v>15</v>
      </c>
      <c r="G8" s="3" t="s">
        <v>42</v>
      </c>
      <c r="H8" s="3" t="s">
        <v>43</v>
      </c>
      <c r="I8" s="4">
        <v>45203.770833333336</v>
      </c>
      <c r="J8" s="3" t="s">
        <v>44</v>
      </c>
      <c r="K8" s="3" t="s">
        <v>45</v>
      </c>
    </row>
    <row r="9" spans="1:11" ht="51" x14ac:dyDescent="0.25">
      <c r="A9" s="3" t="s">
        <v>46</v>
      </c>
      <c r="B9" s="4">
        <v>45204.340277777781</v>
      </c>
      <c r="C9" s="3" t="s">
        <v>47</v>
      </c>
      <c r="D9" s="3" t="s">
        <v>48</v>
      </c>
      <c r="E9" s="3" t="s">
        <v>23</v>
      </c>
      <c r="F9" s="3" t="s">
        <v>15</v>
      </c>
      <c r="G9" s="3" t="s">
        <v>49</v>
      </c>
      <c r="H9" s="3" t="s">
        <v>50</v>
      </c>
      <c r="I9" s="4">
        <v>45204.416666666664</v>
      </c>
      <c r="J9" s="3" t="s">
        <v>18</v>
      </c>
      <c r="K9" s="3" t="s">
        <v>51</v>
      </c>
    </row>
    <row r="10" spans="1:11" ht="51" x14ac:dyDescent="0.25">
      <c r="A10" s="3" t="s">
        <v>52</v>
      </c>
      <c r="B10" s="4">
        <v>45205.479166666664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  <c r="I10" s="4">
        <v>45205.53125</v>
      </c>
      <c r="J10" s="3" t="s">
        <v>59</v>
      </c>
      <c r="K10" s="3" t="s">
        <v>60</v>
      </c>
    </row>
    <row r="11" spans="1:11" ht="51" x14ac:dyDescent="0.25">
      <c r="A11" s="3" t="s">
        <v>61</v>
      </c>
      <c r="B11" s="4">
        <v>45206.555555555555</v>
      </c>
      <c r="C11" s="3" t="s">
        <v>62</v>
      </c>
      <c r="D11" s="3" t="s">
        <v>63</v>
      </c>
      <c r="E11" s="3" t="s">
        <v>14</v>
      </c>
      <c r="F11" s="3" t="s">
        <v>15</v>
      </c>
      <c r="G11" s="3" t="s">
        <v>64</v>
      </c>
      <c r="H11" s="3" t="s">
        <v>65</v>
      </c>
      <c r="I11" s="4">
        <v>45206.625</v>
      </c>
      <c r="J11" s="3" t="s">
        <v>66</v>
      </c>
      <c r="K11" s="3" t="s">
        <v>67</v>
      </c>
    </row>
    <row r="12" spans="1:11" ht="51" x14ac:dyDescent="0.25">
      <c r="A12" s="3" t="s">
        <v>68</v>
      </c>
      <c r="B12" s="4">
        <v>45207.40625</v>
      </c>
      <c r="C12" s="3" t="s">
        <v>69</v>
      </c>
      <c r="D12" s="3" t="s">
        <v>70</v>
      </c>
      <c r="E12" s="3" t="s">
        <v>23</v>
      </c>
      <c r="F12" s="3" t="s">
        <v>24</v>
      </c>
      <c r="G12" s="3" t="s">
        <v>71</v>
      </c>
      <c r="H12" s="3" t="s">
        <v>72</v>
      </c>
      <c r="I12" s="3" t="s">
        <v>27</v>
      </c>
      <c r="J12" s="3" t="s">
        <v>73</v>
      </c>
      <c r="K12" s="3" t="s">
        <v>36</v>
      </c>
    </row>
    <row r="13" spans="1:11" ht="63.75" x14ac:dyDescent="0.25">
      <c r="A13" s="3" t="s">
        <v>74</v>
      </c>
      <c r="B13" s="4">
        <v>45208.583333333336</v>
      </c>
      <c r="C13" s="3" t="s">
        <v>75</v>
      </c>
      <c r="D13" s="3" t="s">
        <v>76</v>
      </c>
      <c r="E13" s="3" t="s">
        <v>55</v>
      </c>
      <c r="F13" s="3" t="s">
        <v>15</v>
      </c>
      <c r="G13" s="3" t="s">
        <v>77</v>
      </c>
      <c r="H13" s="3" t="s">
        <v>78</v>
      </c>
      <c r="I13" s="4">
        <v>45208.604166666664</v>
      </c>
      <c r="J13" s="3" t="s">
        <v>59</v>
      </c>
      <c r="K13" s="3" t="s">
        <v>79</v>
      </c>
    </row>
    <row r="14" spans="1:11" ht="51" x14ac:dyDescent="0.25">
      <c r="A14" s="3" t="s">
        <v>80</v>
      </c>
      <c r="B14" s="4">
        <v>45209.427083333336</v>
      </c>
      <c r="C14" s="3" t="s">
        <v>81</v>
      </c>
      <c r="D14" s="3" t="s">
        <v>82</v>
      </c>
      <c r="E14" s="3" t="s">
        <v>14</v>
      </c>
      <c r="F14" s="3" t="s">
        <v>15</v>
      </c>
      <c r="G14" s="3" t="s">
        <v>83</v>
      </c>
      <c r="H14" s="3" t="s">
        <v>84</v>
      </c>
      <c r="I14" s="4">
        <v>45209.5</v>
      </c>
      <c r="J14" s="3" t="s">
        <v>85</v>
      </c>
      <c r="K14" s="3" t="s">
        <v>86</v>
      </c>
    </row>
    <row r="15" spans="1:11" ht="63.75" x14ac:dyDescent="0.25">
      <c r="A15" s="3" t="s">
        <v>87</v>
      </c>
      <c r="B15" s="4">
        <v>45210.645833333336</v>
      </c>
      <c r="C15" s="3" t="s">
        <v>88</v>
      </c>
      <c r="D15" s="3" t="s">
        <v>89</v>
      </c>
      <c r="E15" s="3" t="s">
        <v>33</v>
      </c>
      <c r="F15" s="3" t="s">
        <v>34</v>
      </c>
      <c r="G15" s="3" t="s">
        <v>90</v>
      </c>
      <c r="H15" s="3" t="s">
        <v>91</v>
      </c>
      <c r="I15" s="3" t="s">
        <v>27</v>
      </c>
      <c r="J15" s="3" t="s">
        <v>92</v>
      </c>
      <c r="K15" s="3" t="s">
        <v>93</v>
      </c>
    </row>
    <row r="16" spans="1:11" ht="51" x14ac:dyDescent="0.25">
      <c r="A16" s="3" t="s">
        <v>94</v>
      </c>
      <c r="B16" s="4">
        <v>45211.333333333336</v>
      </c>
      <c r="C16" s="3" t="s">
        <v>21</v>
      </c>
      <c r="D16" s="3" t="s">
        <v>95</v>
      </c>
      <c r="E16" s="3" t="s">
        <v>23</v>
      </c>
      <c r="F16" s="3" t="s">
        <v>15</v>
      </c>
      <c r="G16" s="3" t="s">
        <v>25</v>
      </c>
      <c r="H16" s="3" t="s">
        <v>96</v>
      </c>
      <c r="I16" s="4">
        <v>45211.416666666664</v>
      </c>
      <c r="J16" s="3" t="s">
        <v>28</v>
      </c>
      <c r="K16" s="3" t="s">
        <v>97</v>
      </c>
    </row>
    <row r="17" spans="1:11" ht="51" x14ac:dyDescent="0.25">
      <c r="A17" s="3" t="s">
        <v>98</v>
      </c>
      <c r="B17" s="4">
        <v>45212.53125</v>
      </c>
      <c r="C17" s="3" t="s">
        <v>12</v>
      </c>
      <c r="D17" s="3" t="s">
        <v>99</v>
      </c>
      <c r="E17" s="3" t="s">
        <v>14</v>
      </c>
      <c r="F17" s="3" t="s">
        <v>15</v>
      </c>
      <c r="G17" s="3" t="s">
        <v>16</v>
      </c>
      <c r="H17" s="3" t="s">
        <v>100</v>
      </c>
      <c r="I17" s="4">
        <v>45212.583333333336</v>
      </c>
      <c r="J17" s="3" t="s">
        <v>18</v>
      </c>
      <c r="K17" s="3" t="s">
        <v>19</v>
      </c>
    </row>
    <row r="18" spans="1:11" ht="63.75" x14ac:dyDescent="0.25">
      <c r="A18" s="3" t="s">
        <v>101</v>
      </c>
      <c r="B18" s="4">
        <v>45213.680555555555</v>
      </c>
      <c r="C18" s="3" t="s">
        <v>31</v>
      </c>
      <c r="D18" s="3" t="s">
        <v>102</v>
      </c>
      <c r="E18" s="3" t="s">
        <v>33</v>
      </c>
      <c r="F18" s="3" t="s">
        <v>34</v>
      </c>
      <c r="G18" s="3" t="s">
        <v>35</v>
      </c>
      <c r="H18" s="3" t="s">
        <v>36</v>
      </c>
      <c r="I18" s="3" t="s">
        <v>27</v>
      </c>
      <c r="J18" s="3" t="s">
        <v>37</v>
      </c>
      <c r="K18" s="3" t="s">
        <v>38</v>
      </c>
    </row>
    <row r="19" spans="1:11" ht="51" x14ac:dyDescent="0.25">
      <c r="A19" s="3" t="s">
        <v>103</v>
      </c>
      <c r="B19" s="4">
        <v>45214.381944444445</v>
      </c>
      <c r="C19" s="3" t="s">
        <v>40</v>
      </c>
      <c r="D19" s="3" t="s">
        <v>104</v>
      </c>
      <c r="E19" s="3" t="s">
        <v>23</v>
      </c>
      <c r="F19" s="3" t="s">
        <v>15</v>
      </c>
      <c r="G19" s="3" t="s">
        <v>42</v>
      </c>
      <c r="H19" s="3" t="s">
        <v>105</v>
      </c>
      <c r="I19" s="4">
        <v>45214.458333333336</v>
      </c>
      <c r="J19" s="3" t="s">
        <v>44</v>
      </c>
      <c r="K19" s="3" t="s">
        <v>45</v>
      </c>
    </row>
    <row r="20" spans="1:11" ht="76.5" x14ac:dyDescent="0.25">
      <c r="A20" s="3" t="s">
        <v>106</v>
      </c>
      <c r="B20" s="4">
        <v>45215.604166666664</v>
      </c>
      <c r="C20" s="3" t="s">
        <v>47</v>
      </c>
      <c r="D20" s="3" t="s">
        <v>107</v>
      </c>
      <c r="E20" s="3" t="s">
        <v>14</v>
      </c>
      <c r="F20" s="3" t="s">
        <v>15</v>
      </c>
      <c r="G20" s="3" t="s">
        <v>49</v>
      </c>
      <c r="H20" s="3" t="s">
        <v>108</v>
      </c>
      <c r="I20" s="4">
        <v>45215.666666666664</v>
      </c>
      <c r="J20" s="3" t="s">
        <v>18</v>
      </c>
      <c r="K20" s="3" t="s">
        <v>109</v>
      </c>
    </row>
    <row r="21" spans="1:11" ht="51" x14ac:dyDescent="0.25">
      <c r="A21" s="3" t="s">
        <v>110</v>
      </c>
      <c r="B21" s="4">
        <v>45216.447916666664</v>
      </c>
      <c r="C21" s="3" t="s">
        <v>53</v>
      </c>
      <c r="D21" s="3" t="s">
        <v>111</v>
      </c>
      <c r="E21" s="3" t="s">
        <v>55</v>
      </c>
      <c r="F21" s="3" t="s">
        <v>56</v>
      </c>
      <c r="G21" s="3" t="s">
        <v>57</v>
      </c>
      <c r="H21" s="3" t="s">
        <v>112</v>
      </c>
      <c r="I21" s="4">
        <v>45216.479166666664</v>
      </c>
      <c r="J21" s="3" t="s">
        <v>59</v>
      </c>
      <c r="K21" s="3" t="s">
        <v>60</v>
      </c>
    </row>
    <row r="22" spans="1:11" ht="51" x14ac:dyDescent="0.25">
      <c r="A22" s="3" t="s">
        <v>113</v>
      </c>
      <c r="B22" s="4">
        <v>45217.541666666664</v>
      </c>
      <c r="C22" s="3" t="s">
        <v>62</v>
      </c>
      <c r="D22" s="3" t="s">
        <v>114</v>
      </c>
      <c r="E22" s="3" t="s">
        <v>23</v>
      </c>
      <c r="F22" s="3" t="s">
        <v>15</v>
      </c>
      <c r="G22" s="3" t="s">
        <v>64</v>
      </c>
      <c r="H22" s="3" t="s">
        <v>115</v>
      </c>
      <c r="I22" s="4">
        <v>45217.604166666664</v>
      </c>
      <c r="J22" s="3" t="s">
        <v>18</v>
      </c>
      <c r="K22" s="3" t="s">
        <v>116</v>
      </c>
    </row>
    <row r="23" spans="1:11" ht="51" x14ac:dyDescent="0.25">
      <c r="A23" s="3" t="s">
        <v>117</v>
      </c>
      <c r="B23" s="4">
        <v>45218.409722222219</v>
      </c>
      <c r="C23" s="3" t="s">
        <v>69</v>
      </c>
      <c r="D23" s="3" t="s">
        <v>118</v>
      </c>
      <c r="E23" s="3" t="s">
        <v>14</v>
      </c>
      <c r="F23" s="3" t="s">
        <v>24</v>
      </c>
      <c r="G23" s="3" t="s">
        <v>71</v>
      </c>
      <c r="H23" s="3" t="s">
        <v>119</v>
      </c>
      <c r="I23" s="3" t="s">
        <v>27</v>
      </c>
      <c r="J23" s="3" t="s">
        <v>73</v>
      </c>
      <c r="K23" s="3" t="s">
        <v>36</v>
      </c>
    </row>
    <row r="24" spans="1:11" ht="63.75" x14ac:dyDescent="0.25">
      <c r="A24" s="3" t="s">
        <v>120</v>
      </c>
      <c r="B24" s="4">
        <v>45219.472222222219</v>
      </c>
      <c r="C24" s="3" t="s">
        <v>75</v>
      </c>
      <c r="D24" s="3" t="s">
        <v>121</v>
      </c>
      <c r="E24" s="3" t="s">
        <v>55</v>
      </c>
      <c r="F24" s="3" t="s">
        <v>15</v>
      </c>
      <c r="G24" s="3" t="s">
        <v>77</v>
      </c>
      <c r="H24" s="3" t="s">
        <v>122</v>
      </c>
      <c r="I24" s="4">
        <v>45219.5</v>
      </c>
      <c r="J24" s="3" t="s">
        <v>59</v>
      </c>
      <c r="K24" s="3" t="s">
        <v>79</v>
      </c>
    </row>
    <row r="25" spans="1:11" ht="51" x14ac:dyDescent="0.25">
      <c r="A25" s="3" t="s">
        <v>123</v>
      </c>
      <c r="B25" s="4">
        <v>45220.65625</v>
      </c>
      <c r="C25" s="3" t="s">
        <v>81</v>
      </c>
      <c r="D25" s="3" t="s">
        <v>124</v>
      </c>
      <c r="E25" s="3" t="s">
        <v>23</v>
      </c>
      <c r="F25" s="3" t="s">
        <v>15</v>
      </c>
      <c r="G25" s="3" t="s">
        <v>83</v>
      </c>
      <c r="H25" s="3" t="s">
        <v>125</v>
      </c>
      <c r="I25" s="4">
        <v>45220.708333333336</v>
      </c>
      <c r="J25" s="3" t="s">
        <v>85</v>
      </c>
      <c r="K25" s="3" t="s">
        <v>126</v>
      </c>
    </row>
    <row r="26" spans="1:11" ht="63.75" x14ac:dyDescent="0.25">
      <c r="A26" s="3" t="s">
        <v>127</v>
      </c>
      <c r="B26" s="4">
        <v>45221.354166666664</v>
      </c>
      <c r="C26" s="3" t="s">
        <v>88</v>
      </c>
      <c r="D26" s="3" t="s">
        <v>128</v>
      </c>
      <c r="E26" s="3" t="s">
        <v>33</v>
      </c>
      <c r="F26" s="3" t="s">
        <v>34</v>
      </c>
      <c r="G26" s="3" t="s">
        <v>90</v>
      </c>
      <c r="H26" s="3" t="s">
        <v>129</v>
      </c>
      <c r="I26" s="3" t="s">
        <v>27</v>
      </c>
      <c r="J26" s="3" t="s">
        <v>130</v>
      </c>
      <c r="K26" s="3" t="s">
        <v>93</v>
      </c>
    </row>
    <row r="27" spans="1:11" ht="51" x14ac:dyDescent="0.25">
      <c r="A27" s="3" t="s">
        <v>131</v>
      </c>
      <c r="B27" s="4">
        <v>45222.590277777781</v>
      </c>
      <c r="C27" s="3" t="s">
        <v>21</v>
      </c>
      <c r="D27" s="3" t="s">
        <v>132</v>
      </c>
      <c r="E27" s="3" t="s">
        <v>23</v>
      </c>
      <c r="F27" s="3" t="s">
        <v>15</v>
      </c>
      <c r="G27" s="3" t="s">
        <v>25</v>
      </c>
      <c r="H27" s="3" t="s">
        <v>96</v>
      </c>
      <c r="I27" s="4">
        <v>45222.645833333336</v>
      </c>
      <c r="J27" s="3" t="s">
        <v>28</v>
      </c>
      <c r="K27" s="3" t="s">
        <v>97</v>
      </c>
    </row>
    <row r="28" spans="1:11" ht="63.75" x14ac:dyDescent="0.25">
      <c r="A28" s="3" t="s">
        <v>133</v>
      </c>
      <c r="B28" s="4">
        <v>45223.416666666664</v>
      </c>
      <c r="C28" s="3" t="s">
        <v>12</v>
      </c>
      <c r="D28" s="3" t="s">
        <v>134</v>
      </c>
      <c r="E28" s="3" t="s">
        <v>14</v>
      </c>
      <c r="F28" s="3" t="s">
        <v>15</v>
      </c>
      <c r="G28" s="3" t="s">
        <v>16</v>
      </c>
      <c r="H28" s="3" t="s">
        <v>100</v>
      </c>
      <c r="I28" s="4">
        <v>45223.5</v>
      </c>
      <c r="J28" s="3" t="s">
        <v>18</v>
      </c>
      <c r="K28" s="3" t="s">
        <v>19</v>
      </c>
    </row>
    <row r="29" spans="1:11" ht="51" x14ac:dyDescent="0.25">
      <c r="A29" s="3" t="s">
        <v>135</v>
      </c>
      <c r="B29" s="4">
        <v>45224.697916666664</v>
      </c>
      <c r="C29" s="3" t="s">
        <v>31</v>
      </c>
      <c r="D29" s="3" t="s">
        <v>136</v>
      </c>
      <c r="E29" s="3" t="s">
        <v>23</v>
      </c>
      <c r="F29" s="3" t="s">
        <v>15</v>
      </c>
      <c r="G29" s="3" t="s">
        <v>35</v>
      </c>
      <c r="H29" s="3" t="s">
        <v>137</v>
      </c>
      <c r="I29" s="4">
        <v>45224.75</v>
      </c>
      <c r="J29" s="3" t="s">
        <v>37</v>
      </c>
      <c r="K29" s="3" t="s">
        <v>138</v>
      </c>
    </row>
    <row r="30" spans="1:11" ht="51" x14ac:dyDescent="0.25">
      <c r="A30" s="3" t="s">
        <v>139</v>
      </c>
      <c r="B30" s="4">
        <v>45225.388888888891</v>
      </c>
      <c r="C30" s="3" t="s">
        <v>40</v>
      </c>
      <c r="D30" s="3" t="s">
        <v>140</v>
      </c>
      <c r="E30" s="3" t="s">
        <v>14</v>
      </c>
      <c r="F30" s="3" t="s">
        <v>15</v>
      </c>
      <c r="G30" s="3" t="s">
        <v>42</v>
      </c>
      <c r="H30" s="3" t="s">
        <v>141</v>
      </c>
      <c r="I30" s="4">
        <v>45225.458333333336</v>
      </c>
      <c r="J30" s="3" t="s">
        <v>44</v>
      </c>
      <c r="K30" s="3" t="s">
        <v>45</v>
      </c>
    </row>
    <row r="31" spans="1:11" ht="63.75" x14ac:dyDescent="0.25">
      <c r="A31" s="3" t="s">
        <v>142</v>
      </c>
      <c r="B31" s="4">
        <v>45226.5625</v>
      </c>
      <c r="C31" s="3" t="s">
        <v>47</v>
      </c>
      <c r="D31" s="3" t="s">
        <v>143</v>
      </c>
      <c r="E31" s="3" t="s">
        <v>23</v>
      </c>
      <c r="F31" s="3" t="s">
        <v>15</v>
      </c>
      <c r="G31" s="3" t="s">
        <v>49</v>
      </c>
      <c r="H31" s="3" t="s">
        <v>144</v>
      </c>
      <c r="I31" s="4">
        <v>45226.625</v>
      </c>
      <c r="J31" s="3" t="s">
        <v>18</v>
      </c>
      <c r="K31" s="3" t="s">
        <v>109</v>
      </c>
    </row>
    <row r="32" spans="1:11" ht="63.75" x14ac:dyDescent="0.25">
      <c r="A32" s="3" t="s">
        <v>145</v>
      </c>
      <c r="B32" s="4">
        <v>45227.451388888891</v>
      </c>
      <c r="C32" s="3" t="s">
        <v>53</v>
      </c>
      <c r="D32" s="3" t="s">
        <v>146</v>
      </c>
      <c r="E32" s="3" t="s">
        <v>55</v>
      </c>
      <c r="F32" s="3" t="s">
        <v>56</v>
      </c>
      <c r="G32" s="3" t="s">
        <v>57</v>
      </c>
      <c r="H32" s="3" t="s">
        <v>147</v>
      </c>
      <c r="I32" s="4">
        <v>45227.5</v>
      </c>
      <c r="J32" s="3" t="s">
        <v>59</v>
      </c>
      <c r="K32" s="3" t="s">
        <v>60</v>
      </c>
    </row>
    <row r="33" spans="1:11" ht="51" x14ac:dyDescent="0.25">
      <c r="A33" s="3" t="s">
        <v>148</v>
      </c>
      <c r="B33" s="4">
        <v>45228.597222222219</v>
      </c>
      <c r="C33" s="3" t="s">
        <v>62</v>
      </c>
      <c r="D33" s="3" t="s">
        <v>149</v>
      </c>
      <c r="E33" s="3" t="s">
        <v>23</v>
      </c>
      <c r="F33" s="3" t="s">
        <v>15</v>
      </c>
      <c r="G33" s="3" t="s">
        <v>64</v>
      </c>
      <c r="H33" s="3" t="s">
        <v>150</v>
      </c>
      <c r="I33" s="4">
        <v>45228.65625</v>
      </c>
      <c r="J33" s="3" t="s">
        <v>18</v>
      </c>
      <c r="K33" s="3" t="s">
        <v>116</v>
      </c>
    </row>
    <row r="34" spans="1:11" ht="63.75" x14ac:dyDescent="0.25">
      <c r="A34" s="3" t="s">
        <v>151</v>
      </c>
      <c r="B34" s="4">
        <v>45229.364583333336</v>
      </c>
      <c r="C34" s="3" t="s">
        <v>69</v>
      </c>
      <c r="D34" s="3" t="s">
        <v>152</v>
      </c>
      <c r="E34" s="3" t="s">
        <v>14</v>
      </c>
      <c r="F34" s="3" t="s">
        <v>24</v>
      </c>
      <c r="G34" s="3" t="s">
        <v>71</v>
      </c>
      <c r="H34" s="3" t="s">
        <v>72</v>
      </c>
      <c r="I34" s="3" t="s">
        <v>27</v>
      </c>
      <c r="J34" s="3" t="s">
        <v>73</v>
      </c>
      <c r="K34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E022-955D-4577-97D4-FF08DF5E200D}">
  <dimension ref="A1:C6"/>
  <sheetViews>
    <sheetView workbookViewId="0">
      <selection activeCell="F21" sqref="F21"/>
    </sheetView>
  </sheetViews>
  <sheetFormatPr baseColWidth="10" defaultRowHeight="15" x14ac:dyDescent="0.25"/>
  <cols>
    <col min="1" max="1" width="22.42578125" customWidth="1"/>
  </cols>
  <sheetData>
    <row r="1" spans="1:3" ht="15.75" x14ac:dyDescent="0.25">
      <c r="A1" s="5" t="s">
        <v>153</v>
      </c>
    </row>
    <row r="2" spans="1:3" ht="15.75" x14ac:dyDescent="0.25">
      <c r="A2" s="5" t="s">
        <v>154</v>
      </c>
    </row>
    <row r="3" spans="1:3" ht="15.75" x14ac:dyDescent="0.25">
      <c r="A3" s="5" t="s">
        <v>155</v>
      </c>
      <c r="B3" t="s">
        <v>157</v>
      </c>
    </row>
    <row r="4" spans="1:3" ht="15.75" x14ac:dyDescent="0.25">
      <c r="A4" t="s">
        <v>156</v>
      </c>
      <c r="C4" s="5">
        <f>COUNTIF('Gestión de Incidentes '!C5:D34,D6)</f>
        <v>0</v>
      </c>
    </row>
    <row r="5" spans="1:3" x14ac:dyDescent="0.25">
      <c r="A5" t="s">
        <v>31</v>
      </c>
      <c r="C5">
        <f>COUNTIF('Gestión de Incidentes '!C5:D34,D6)</f>
        <v>0</v>
      </c>
    </row>
    <row r="6" spans="1:3" ht="15.75" x14ac:dyDescent="0.25">
      <c r="A6" s="5" t="s">
        <v>21</v>
      </c>
      <c r="C6">
        <f>COUNTIF('Gestión de Incidentes '!C6:D35,D7)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Gestión de Incidentes </vt:lpstr>
      <vt:lpstr>Dashboard Visual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2025-03-27T23:03:52Z</dcterms:created>
  <dcterms:modified xsi:type="dcterms:W3CDTF">2025-03-27T23:24:16Z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2025-03-27T23:04:04Z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b5dec200-7415-4ad3-829c-c17ef8c84ac3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