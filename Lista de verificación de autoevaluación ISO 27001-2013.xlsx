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hoan\OneDrive\Escritorio\TEMPLATES PACKAGE 10\Bono SGSI 1\"/>
    </mc:Choice>
  </mc:AlternateContent>
  <bookViews>
    <workbookView xWindow="0" yWindow="0" windowWidth="28800" windowHeight="12330" tabRatio="645" activeTab="2"/>
  </bookViews>
  <sheets>
    <sheet name="Lista de verificación de cumpli" sheetId="1" r:id="rId1"/>
    <sheet name="Cumplimiento por sección" sheetId="2" r:id="rId2"/>
    <sheet name="Cumplimiento por control" sheetId="3" r:id="rId3"/>
    <sheet name="Datos" sheetId="5" state="hidden" r:id="rId4"/>
  </sheets>
  <externalReferences>
    <externalReference r:id="rId5"/>
    <externalReference r:id="rId6"/>
  </externalReferences>
  <definedNames>
    <definedName name="Status">[1]Data!$A$2:$A$22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3" l="1"/>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15" i="2" l="1"/>
  <c r="C14" i="2"/>
  <c r="C13" i="2"/>
  <c r="C12" i="2"/>
  <c r="C11" i="2"/>
  <c r="C10" i="2"/>
  <c r="C9" i="2"/>
  <c r="C8" i="2"/>
  <c r="C7" i="2"/>
  <c r="C6" i="2"/>
  <c r="C5" i="2"/>
  <c r="C4" i="2"/>
  <c r="C3" i="2"/>
  <c r="C2" i="2"/>
  <c r="C19" i="2" l="1"/>
</calcChain>
</file>

<file path=xl/sharedStrings.xml><?xml version="1.0" encoding="utf-8"?>
<sst xmlns="http://schemas.openxmlformats.org/spreadsheetml/2006/main" count="555" uniqueCount="453">
  <si>
    <t>Referencia</t>
  </si>
  <si>
    <t>Estándar</t>
  </si>
  <si>
    <t>Sección</t>
  </si>
  <si>
    <t>Recomendaciones</t>
  </si>
  <si>
    <t>Estado</t>
  </si>
  <si>
    <t>Resultados</t>
  </si>
  <si>
    <t>Políticas de Seguridad de la Información</t>
  </si>
  <si>
    <t>A.5.1</t>
  </si>
  <si>
    <t>A.5</t>
  </si>
  <si>
    <t>Dirección de gestión para la seguridad de la información.</t>
  </si>
  <si>
    <t>A.5.1.1</t>
  </si>
  <si>
    <t>Políticas de seguridad de la información</t>
  </si>
  <si>
    <t>Revisión de las políticas de seguridad de la información</t>
  </si>
  <si>
    <t>A.5.1.2</t>
  </si>
  <si>
    <t>A.6</t>
  </si>
  <si>
    <t>Organización de la seguridad de la información.</t>
  </si>
  <si>
    <t>Roles y responsabilidades de seguridad de la información</t>
  </si>
  <si>
    <t>Segregación de deberes</t>
  </si>
  <si>
    <t>Contacto con autoridades</t>
  </si>
  <si>
    <t>Contacto con grupos de interés especial</t>
  </si>
  <si>
    <t>Seguridad de la información en la gestión de proyectos.</t>
  </si>
  <si>
    <t>A.6.1.1</t>
  </si>
  <si>
    <t>Organización Interna</t>
  </si>
  <si>
    <t>A.6.1.2</t>
  </si>
  <si>
    <t>A.6.1.3</t>
  </si>
  <si>
    <t>A.6.1.4</t>
  </si>
  <si>
    <t>A.6.1.5</t>
  </si>
  <si>
    <t>A.6.2</t>
  </si>
  <si>
    <t>Dispositivos móviles y teletrabajo</t>
  </si>
  <si>
    <t>política de dispositivos móviles</t>
  </si>
  <si>
    <t>teletrabajo</t>
  </si>
  <si>
    <t>A.6.2.1</t>
  </si>
  <si>
    <t>A.6.2.2</t>
  </si>
  <si>
    <t>A.7</t>
  </si>
  <si>
    <t>seguridad de los recursos humanos</t>
  </si>
  <si>
    <t>A.7.1</t>
  </si>
  <si>
    <t>Antes del empleo</t>
  </si>
  <si>
    <t>A.7.1.1</t>
  </si>
  <si>
    <t>Poner en pantalla</t>
  </si>
  <si>
    <t>A.7.1.2</t>
  </si>
  <si>
    <t>Términos y condiciones de empleo</t>
  </si>
  <si>
    <t>A.7.2</t>
  </si>
  <si>
    <t>A.7.2.1</t>
  </si>
  <si>
    <t>responsabilidades de gestión</t>
  </si>
  <si>
    <t>A.7.2.2</t>
  </si>
  <si>
    <t>Concientización, educación y capacitación en seguridad de la información</t>
  </si>
  <si>
    <t>A.7.2.3</t>
  </si>
  <si>
    <t>Proceso Disciplinario</t>
  </si>
  <si>
    <t>A.7.3</t>
  </si>
  <si>
    <t>Terminación y cambio de empleo</t>
  </si>
  <si>
    <t>A.7.3.1</t>
  </si>
  <si>
    <t>Terminación o cambio de responsabilidades laborales</t>
  </si>
  <si>
    <t>A.8</t>
  </si>
  <si>
    <t>A.8.1</t>
  </si>
  <si>
    <t>Responsabilidad por los activos</t>
  </si>
  <si>
    <t>A.8.1.1</t>
  </si>
  <si>
    <t>A.8.1.2</t>
  </si>
  <si>
    <t>A.8.1.3</t>
  </si>
  <si>
    <t>A.8.1.4</t>
  </si>
  <si>
    <t>A.8.2</t>
  </si>
  <si>
    <t>A.8.2.1</t>
  </si>
  <si>
    <t>A.8.2.2</t>
  </si>
  <si>
    <t>A.8.2.3</t>
  </si>
  <si>
    <t>A.8.3</t>
  </si>
  <si>
    <t>manejo de medios</t>
  </si>
  <si>
    <t>Clasificación de la información</t>
  </si>
  <si>
    <t>A.8.3.1</t>
  </si>
  <si>
    <t>A.8.3.2</t>
  </si>
  <si>
    <t>A.8.3.3</t>
  </si>
  <si>
    <t>A.9</t>
  </si>
  <si>
    <t>Control de acceso</t>
  </si>
  <si>
    <t>Gestión de activos</t>
  </si>
  <si>
    <t>A.9.1</t>
  </si>
  <si>
    <t>Requisitos empresariales para el control de acceso</t>
  </si>
  <si>
    <t>A.9.1.1</t>
  </si>
  <si>
    <t>A.9.1.2</t>
  </si>
  <si>
    <t>A.9.2</t>
  </si>
  <si>
    <t>Gestión de acceso de usuarios</t>
  </si>
  <si>
    <t>A.9.2.1</t>
  </si>
  <si>
    <t>A.9.2.2</t>
  </si>
  <si>
    <t>A.9.2.3</t>
  </si>
  <si>
    <t>A.9.2.4</t>
  </si>
  <si>
    <t>A.9.2.5</t>
  </si>
  <si>
    <t>A.9.2.6</t>
  </si>
  <si>
    <t>A.9.3</t>
  </si>
  <si>
    <t>Responsabilidades del usuario</t>
  </si>
  <si>
    <t>A.9.3.1</t>
  </si>
  <si>
    <t>A.9.4</t>
  </si>
  <si>
    <t>Control de acceso a sistemas y aplicaciones</t>
  </si>
  <si>
    <t>A.9.4.1</t>
  </si>
  <si>
    <t>A.9.4.2</t>
  </si>
  <si>
    <t>A.9.4.3</t>
  </si>
  <si>
    <t>A.9.4.4</t>
  </si>
  <si>
    <t>A.9.4.5</t>
  </si>
  <si>
    <t>A.10</t>
  </si>
  <si>
    <t>Criptografía</t>
  </si>
  <si>
    <t>A.10.1</t>
  </si>
  <si>
    <t>Controles criptográficos</t>
  </si>
  <si>
    <t>A.10.1.1</t>
  </si>
  <si>
    <t>A.10.1.2</t>
  </si>
  <si>
    <t>A.11</t>
  </si>
  <si>
    <t>Seguridad física y ambiental</t>
  </si>
  <si>
    <t>A.11.1</t>
  </si>
  <si>
    <t>Áreas seguras</t>
  </si>
  <si>
    <t>A.11.1.1</t>
  </si>
  <si>
    <t>A.11.1.2</t>
  </si>
  <si>
    <t>A.11.1.3</t>
  </si>
  <si>
    <t>A.11.1.4</t>
  </si>
  <si>
    <t>A.11.1.5</t>
  </si>
  <si>
    <t>A.11.1.6</t>
  </si>
  <si>
    <t>A.11.2</t>
  </si>
  <si>
    <t>Equipo</t>
  </si>
  <si>
    <t>A.11.2.1</t>
  </si>
  <si>
    <t>A.11.2.2</t>
  </si>
  <si>
    <t>A.11.2.3</t>
  </si>
  <si>
    <t>A.11.2.4</t>
  </si>
  <si>
    <t>A.11.2.5</t>
  </si>
  <si>
    <t>A.11.2.6</t>
  </si>
  <si>
    <t>A.11.2.7</t>
  </si>
  <si>
    <t>A.11.2.8</t>
  </si>
  <si>
    <t>A.11.2.9</t>
  </si>
  <si>
    <t>A.12</t>
  </si>
  <si>
    <t>seguridad de las operaciones</t>
  </si>
  <si>
    <t>A.12.1</t>
  </si>
  <si>
    <t>Procedimientos operativos y responsabilidades</t>
  </si>
  <si>
    <t>A.12.1.1</t>
  </si>
  <si>
    <t>A.12.1.2</t>
  </si>
  <si>
    <t>A.12.1.3</t>
  </si>
  <si>
    <t>A.12.1.4</t>
  </si>
  <si>
    <t>A.12.2</t>
  </si>
  <si>
    <t>Protección contra malware</t>
  </si>
  <si>
    <t>A.12.2.1</t>
  </si>
  <si>
    <t>A.12.3</t>
  </si>
  <si>
    <t>Respaldo</t>
  </si>
  <si>
    <t>A.12.3.1</t>
  </si>
  <si>
    <t>A.12.4</t>
  </si>
  <si>
    <t>Registro y monitoreo</t>
  </si>
  <si>
    <t>A.12.4.1</t>
  </si>
  <si>
    <t>A.12.4.2</t>
  </si>
  <si>
    <t>A.12.4.3</t>
  </si>
  <si>
    <t>A.12.4.4</t>
  </si>
  <si>
    <t>A.12.5</t>
  </si>
  <si>
    <t>Control de software operativo</t>
  </si>
  <si>
    <t>A.12.5.1</t>
  </si>
  <si>
    <t>A.12.6</t>
  </si>
  <si>
    <t>Gestión de vulnerabilidades técnicas</t>
  </si>
  <si>
    <t>A.12.6.1</t>
  </si>
  <si>
    <t>A.12.6.2</t>
  </si>
  <si>
    <t>A.12.7</t>
  </si>
  <si>
    <t>Consideraciones de auditoría de sistemas de información</t>
  </si>
  <si>
    <t>A.12.7.1</t>
  </si>
  <si>
    <t>A.13</t>
  </si>
  <si>
    <t>Seguridad de las comunicaciones</t>
  </si>
  <si>
    <t>A.13.1</t>
  </si>
  <si>
    <t>Gestión de la seguridad de la red</t>
  </si>
  <si>
    <t>A.13.1.1</t>
  </si>
  <si>
    <t>Controles de red</t>
  </si>
  <si>
    <t>A.13.1.2</t>
  </si>
  <si>
    <t>A.13.1.3</t>
  </si>
  <si>
    <t>A.13.2</t>
  </si>
  <si>
    <t>Transferencia de información</t>
  </si>
  <si>
    <t>A.13.2.1</t>
  </si>
  <si>
    <t>A.13.2.2</t>
  </si>
  <si>
    <t>A.13.2.3</t>
  </si>
  <si>
    <t>A.13.2.4</t>
  </si>
  <si>
    <t>A.14</t>
  </si>
  <si>
    <t>Adquisición, desarrollo y mantenimiento del sistema</t>
  </si>
  <si>
    <t>A.14.1</t>
  </si>
  <si>
    <t>Requisitos de seguridad de los sistemas de información</t>
  </si>
  <si>
    <t>A.14.2.1</t>
  </si>
  <si>
    <t>A.14.2.2</t>
  </si>
  <si>
    <t>A.14.2.3</t>
  </si>
  <si>
    <t>A.14.2.4</t>
  </si>
  <si>
    <t>A.14.2.5</t>
  </si>
  <si>
    <t>A.14.2.6</t>
  </si>
  <si>
    <t>A.14.2.7</t>
  </si>
  <si>
    <t>A.14.2.8</t>
  </si>
  <si>
    <t>A.14.2.9</t>
  </si>
  <si>
    <t>A.14.1.1</t>
  </si>
  <si>
    <t>A.14.1.2</t>
  </si>
  <si>
    <t>A.14.1.3</t>
  </si>
  <si>
    <t>A.14.2</t>
  </si>
  <si>
    <t>Seguridad en los procesos de desarrollo y soporte</t>
  </si>
  <si>
    <t>A.14.3</t>
  </si>
  <si>
    <t>Datos de prueba</t>
  </si>
  <si>
    <t>A.14.3.1</t>
  </si>
  <si>
    <t>A.15</t>
  </si>
  <si>
    <t>Relaciones con proveedores</t>
  </si>
  <si>
    <t>A.15.1</t>
  </si>
  <si>
    <t>Seguridad de la información en las relaciones con los proveedores</t>
  </si>
  <si>
    <t>A.15.1.1</t>
  </si>
  <si>
    <t>A.15.1.2</t>
  </si>
  <si>
    <t>A.15.1.3</t>
  </si>
  <si>
    <t>A.15.2</t>
  </si>
  <si>
    <t>Gestión de entrega de servicios de proveedores</t>
  </si>
  <si>
    <t>A.15.2.1</t>
  </si>
  <si>
    <t>A.15.2.2</t>
  </si>
  <si>
    <t>A.16</t>
  </si>
  <si>
    <t>Gestión de incidentes de seguridad de la información</t>
  </si>
  <si>
    <t>A.16.1</t>
  </si>
  <si>
    <t>Gestión de incidentes y mejoras de seguridad de la información</t>
  </si>
  <si>
    <t>A.16.1.1</t>
  </si>
  <si>
    <t>A.16.1.2</t>
  </si>
  <si>
    <t>A.16.1.3</t>
  </si>
  <si>
    <t>A.16.1.4</t>
  </si>
  <si>
    <t>A.16.1.5</t>
  </si>
  <si>
    <t>A.16.1.6</t>
  </si>
  <si>
    <t>A.16.1.7</t>
  </si>
  <si>
    <t>A.17</t>
  </si>
  <si>
    <t>Aspectos de seguridad de la información de la gestión de la continuidad del negocio</t>
  </si>
  <si>
    <t>A.17.1</t>
  </si>
  <si>
    <t>Continuidad de la seguridad de la información</t>
  </si>
  <si>
    <t>A.17.1.1</t>
  </si>
  <si>
    <t>A.17.1.2</t>
  </si>
  <si>
    <t>A.17.1.3</t>
  </si>
  <si>
    <t>A.17.2</t>
  </si>
  <si>
    <t>A.17.2.1</t>
  </si>
  <si>
    <t>despidos</t>
  </si>
  <si>
    <t>A.18</t>
  </si>
  <si>
    <t>Cumplimiento</t>
  </si>
  <si>
    <t>A.18.1</t>
  </si>
  <si>
    <t>Cumplimiento de requisitos legales y contractuales</t>
  </si>
  <si>
    <t>A.18.1.1</t>
  </si>
  <si>
    <t>A.18.1.2</t>
  </si>
  <si>
    <t>A.18.1.3</t>
  </si>
  <si>
    <t>A.18.1.4</t>
  </si>
  <si>
    <t>A.18.1.5</t>
  </si>
  <si>
    <t>A.18.2</t>
  </si>
  <si>
    <t>Revisiones de seguridad de la información</t>
  </si>
  <si>
    <t>A.18.2.1</t>
  </si>
  <si>
    <t>A.18.2.2</t>
  </si>
  <si>
    <t>A.18.2.3</t>
  </si>
  <si>
    <t>Cumplimiento general</t>
  </si>
  <si>
    <t>Área de Evaluación de Cumplimiento</t>
  </si>
  <si>
    <t>Durante el empleo</t>
  </si>
  <si>
    <t>Inventario de activos</t>
  </si>
  <si>
    <t>Propiedad de los activos</t>
  </si>
  <si>
    <t>Uso aceptable de los activos</t>
  </si>
  <si>
    <t>Devolución de activos</t>
  </si>
  <si>
    <t>Clasificación de la información</t>
  </si>
  <si>
    <t>Etiquetado de información</t>
  </si>
  <si>
    <t>manejo de activos</t>
  </si>
  <si>
    <t>Gestión de medios extraíbles</t>
  </si>
  <si>
    <t>Eliminación de medios</t>
  </si>
  <si>
    <t>Transferencia de medios físicos</t>
  </si>
  <si>
    <t>Política de control de acceso</t>
  </si>
  <si>
    <t>Acceso a redes y servicios de red</t>
  </si>
  <si>
    <t>Alta y baja de usuario</t>
  </si>
  <si>
    <t>Aprovisionamiento de acceso de usuarios</t>
  </si>
  <si>
    <t>Gestión de derechos de acceso privilegiado</t>
  </si>
  <si>
    <t>Gestión de la información secreta de autenticación de los usuarios</t>
  </si>
  <si>
    <t>Revisión de los derechos de acceso de los usuarios</t>
  </si>
  <si>
    <t>Eliminación o ajuste de los derechos de acceso</t>
  </si>
  <si>
    <t>Uso de información de autenticación secreta</t>
  </si>
  <si>
    <t>Restricción de acceso a la información</t>
  </si>
  <si>
    <t>Procedimientos seguros de inicio de sesión</t>
  </si>
  <si>
    <t>Sistema de gestión de contraseñas</t>
  </si>
  <si>
    <t>Uso de programas de utilidad privilegiados</t>
  </si>
  <si>
    <t>Control de acceso al código fuente del programa</t>
  </si>
  <si>
    <t>Política sobre el uso de controles criptográficos</t>
  </si>
  <si>
    <t>Gestión de claves</t>
  </si>
  <si>
    <t>Controles de entrada física</t>
  </si>
  <si>
    <t>Asegurar oficinas, salas e instalaciones</t>
  </si>
  <si>
    <t>Protección contra amenazas externas y ambientales.</t>
  </si>
  <si>
    <t>Trabajar en áreas seguras</t>
  </si>
  <si>
    <t>Zonas de entrega y carga</t>
  </si>
  <si>
    <t>Emplazamiento y protección de equipos</t>
  </si>
  <si>
    <t>Utilidades de apoyo</t>
  </si>
  <si>
    <t>seguridad del cableado</t>
  </si>
  <si>
    <t>Mantenimiento de equipo</t>
  </si>
  <si>
    <t>Eliminación de activos</t>
  </si>
  <si>
    <t>Seguridad de equipos y activos fuera de las instalaciones</t>
  </si>
  <si>
    <t>Eliminación segura o reutilización de equipos</t>
  </si>
  <si>
    <t>Equipo de usuario desatendido</t>
  </si>
  <si>
    <t>Política de escritorio despejado y pantalla despejada</t>
  </si>
  <si>
    <t>Procedimientos operativos documentados</t>
  </si>
  <si>
    <t>Gestión del cambio</t>
  </si>
  <si>
    <t>Gestión de capacidad</t>
  </si>
  <si>
    <t>Separación de entornos de desarrollo, pruebas y operativos</t>
  </si>
  <si>
    <t>Copia de seguridad de la información</t>
  </si>
  <si>
    <t>Controles contra malware</t>
  </si>
  <si>
    <t>El registro de eventos</t>
  </si>
  <si>
    <t>Protección de la información de registro</t>
  </si>
  <si>
    <t>Registros de administrador y operador</t>
  </si>
  <si>
    <t>Sincronización de reloj</t>
  </si>
  <si>
    <t>Instalación de software en sistemas operativos</t>
  </si>
  <si>
    <t>Gestión de vulnerabilidades técnicas</t>
  </si>
  <si>
    <t>Restricciones en la instalación de software</t>
  </si>
  <si>
    <t>Controles de auditoría de sistemas de información</t>
  </si>
  <si>
    <t>Seguridad de los servicios de red.</t>
  </si>
  <si>
    <t>Segregación en redes</t>
  </si>
  <si>
    <t>Políticas y procedimientos de transferencia de información</t>
  </si>
  <si>
    <t>Acuerdos de transferencia de información</t>
  </si>
  <si>
    <t>mensajería electrónica</t>
  </si>
  <si>
    <t>Acuerdos de confidencialidad o no divulgación</t>
  </si>
  <si>
    <t>Análisis y especificación de requisitos de seguridad de la información.</t>
  </si>
  <si>
    <t>Protección de servicios de aplicaciones en redes públicas</t>
  </si>
  <si>
    <t>Protección de transacciones de servicios de aplicaciones</t>
  </si>
  <si>
    <t>Política de desarrollo seguro</t>
  </si>
  <si>
    <t>Procedimientos de control de cambios del sistema</t>
  </si>
  <si>
    <t>Revisión técnica de aplicaciones tras cambios de plataforma operativa</t>
  </si>
  <si>
    <t>Restricciones a los cambios en los paquetes de software</t>
  </si>
  <si>
    <t>Principios de ingeniería de sistemas seguros</t>
  </si>
  <si>
    <t>Entorno de desarrollo seguro</t>
  </si>
  <si>
    <t>Desarrollo subcontratado</t>
  </si>
  <si>
    <t>Pruebas de seguridad del sistema</t>
  </si>
  <si>
    <t>Pruebas de aceptación del sistema</t>
  </si>
  <si>
    <t>Protección de datos de prueba</t>
  </si>
  <si>
    <t>Política de seguridad de la información en las relaciones con proveedores</t>
  </si>
  <si>
    <t>Abordar la seguridad en los acuerdos con los proveedores</t>
  </si>
  <si>
    <t>Cadena de suministro de tecnología de la información y la comunicación</t>
  </si>
  <si>
    <t>Seguimiento y revisión de servicios de proveedores</t>
  </si>
  <si>
    <t>Gestión de cambios en los servicios del proveedor</t>
  </si>
  <si>
    <t>Responsabilidades y procedimientos</t>
  </si>
  <si>
    <t>Reportar eventos de seguridad de la información</t>
  </si>
  <si>
    <t>Informar sobre debilidades en la seguridad de la información</t>
  </si>
  <si>
    <t>Evaluación y decisión sobre eventos de seguridad de la información</t>
  </si>
  <si>
    <t>Respuesta a incidentes de seguridad de la información</t>
  </si>
  <si>
    <t>Aprender de los incidentes de seguridad de la información</t>
  </si>
  <si>
    <t>Recolección de evidencia</t>
  </si>
  <si>
    <t>Planificación de la continuidad de la seguridad de la información</t>
  </si>
  <si>
    <t>Implementación de la continuidad de la seguridad de la información</t>
  </si>
  <si>
    <t>Verificar, revisar y evaluar la continuidad de la seguridad de la información</t>
  </si>
  <si>
    <t>Disponibilidad de instalaciones de procesamiento de información</t>
  </si>
  <si>
    <t>Identificación de la legislación aplicable y requisitos contractuales</t>
  </si>
  <si>
    <t>Derechos de propiedad intelectual</t>
  </si>
  <si>
    <t>Protección de registros</t>
  </si>
  <si>
    <t>Privacidad y protección de la información de identificación personal</t>
  </si>
  <si>
    <t>Revisión independiente de la seguridad de la información.</t>
  </si>
  <si>
    <t>Cumplimiento de políticas y estándares de seguridad</t>
  </si>
  <si>
    <t>Revisión de cumplimiento técnico</t>
  </si>
  <si>
    <t>A.6.1</t>
  </si>
  <si>
    <t>1. ¿Existen políticas de seguridad? 2. ¿Todas las políticas son aprobadas por la gerencia? 3. ¿Se comunican correctamente las políticas a los empleados?</t>
  </si>
  <si>
    <t>1. ¿Las políticas de seguridad están sujetas a revisión? 2. ¿Se realizan las revisiones a intervalos regulares? 3. ¿Se realizan revisiones cuando cambian las circunstancias?</t>
  </si>
  <si>
    <t>¿Las responsabilidades para la protección de activos individuales y para llevar a cabo procesos de seguridad específicos, están claramente identificadas y definidas y comunicadas a las partes relevantes?</t>
  </si>
  <si>
    <t>¿Están separados los deberes y las áreas de responsabilidad para reducir las oportunidades de modificación no autorizada o mal uso de la información o los servicios?</t>
  </si>
  <si>
    <t>¿Las personas relevantes dentro de la organización mantienen una membresía activa en grupos de interés especial relevantes?</t>
  </si>
  <si>
    <t>¿Todos los proyectos pasan por algún tipo de evaluación de la seguridad de la información?</t>
  </si>
  <si>
    <t>Gestión de incidentes y mejoras de infosec</t>
  </si>
  <si>
    <t>1. ¿Existe una política de dispositivo móvil? 2. ¿La política cuenta con la aprobación de la gerencia? 3. ¿La política documenta y aborda los riesgos adicionales del uso de dispositivos móviles (p. ej., robo de activos, uso de puntos de acceso inalámbricos abiertos, etc.)</t>
  </si>
  <si>
    <t>1. ¿Existe una política de teletrabajo? 2. ¿Tiene esto la aprobación de la gerencia? 3. ¿Existe un proceso establecido para que los trabajadores remotos obtengan acceso? 4. ¿Se les brinda a los teletrabajadores el asesoramiento y el equipo para proteger sus activos?</t>
  </si>
  <si>
    <t>1. ¿Se llevan a cabo controles de verificación de antecedentes de todos los nuevos candidatos para el empleo? 2. ¿Están estos controles aprobados por la autoridad de gestión correspondiente? 3. ¿Cumplen los cheques con las leyes, reglamentos y ética pertinentes? 4. ¿El nivel de controles requeridos está respaldado por evaluaciones de riesgos comerciales?</t>
  </si>
  <si>
    <t>1. ¿Se les pide a todos los empleados, contratistas y usuarios externos que firmen acuerdos de confidencialidad y no divulgación? 2. ¿Los contratos de trabajo/servicio cubren específicamente la necesidad de proteger la información comercial?</t>
  </si>
  <si>
    <t>1. ¿Los gerentes (de todos los niveles) se dedican a impulsar la seguridad dentro del negocio? 2. ¿El comportamiento y la política de la gerencia impulsan y alientan a todos los empleados, contratistas y usuarios externos a aplicar la seguridad de acuerdo con las políticas y los procedimientos establecidos?</t>
  </si>
  <si>
    <t>¿Todos los empleados, contratistas y usuarios de terceros reciben capacitación periódica sobre seguridad adecuada a su rol y función dentro de la organización?</t>
  </si>
  <si>
    <t>1. ¿Existe un proceso documentado para terminar o cambiar los deberes laborales? 2. ¿Se comunican al empleado o contratista las obligaciones de seguridad de la información que sobreviven al empleo? 3. ¿Puede la organización exigir el cumplimiento de cualquier deber que sobreviva al empleo?</t>
  </si>
  <si>
    <t>1. ¿Existe un inventario de todos los activos asociados con la información y las instalaciones de procesamiento de la información? 2. ¿El inventario es preciso y está actualizado?</t>
  </si>
  <si>
    <t>Todos los activos de información deben tener un propietario claramente definido que sea consciente de sus responsabilidades.</t>
  </si>
  <si>
    <t>1. ¿Existe una política de uso aceptable para cada clase/tipo de activo de información? 2. ¿Los usuarios conocen esta política antes de usarla?</t>
  </si>
  <si>
    <t>¿Existe un proceso para garantizar que todos los empleados y usuarios externos devuelvan los activos de la organización al finalizar su empleo, contrato o acuerdo?</t>
  </si>
  <si>
    <t>1. ¿Existe una política que rija la clasificación de la información? 2. ¿Existe un proceso mediante el cual toda la información pueda clasificarse adecuadamente?</t>
  </si>
  <si>
    <t>1. ¿Existe un procedimiento para el manejo de cada clasificación de información? 2. ¿Los usuarios de los activos de información conocen este procedimiento?</t>
  </si>
  <si>
    <t>1. ¿Existe una política que rija los medios extraíbles? 2. ¿Existe un proceso que cubra cómo se administran los medios extraíbles? 3. ¿Se comunican la política y los procesos a todos los empleados mediante medios extraíbles?</t>
  </si>
  <si>
    <t>¿Existe un procedimiento formal que rija cómo se desechan los medios extraíbles?</t>
  </si>
  <si>
    <t>1. ¿Existe una política y un proceso documentados que detallen cómo deben transportarse los medios físicos? 2. ¿Están protegidos los medios en el transporte contra el acceso no autorizado, el uso indebido o la corrupción?</t>
  </si>
  <si>
    <t>1. ¿Existe una política de control de acceso documentada? 2. ¿La política se basa en los requisitos comerciales? 3. ¿Se comunica adecuadamente la política?</t>
  </si>
  <si>
    <t>¿Existen controles para garantizar que los usuarios solo tengan acceso a los recursos de la red para los que han sido autorizados especialmente y que son necesarios para sus funciones?</t>
  </si>
  <si>
    <t>¿Existe un proceso formal de registro de acceso de usuario?</t>
  </si>
  <si>
    <t>¿Existe un proceso formal de provisión de acceso de usuarios para asignar derechos de acceso para todos los tipos de usuarios y servicios?</t>
  </si>
  <si>
    <t>¿Existe un proceso de gestión formal para controlar la asignación de información de autenticación secreta?</t>
  </si>
  <si>
    <t>1. ¿Existe un proceso para que los propietarios de activos revisen periódicamente los derechos de acceso a sus activos? 2. ¿Se verifica este proceso de revisión?</t>
  </si>
  <si>
    <t>¿Existe un proceso para garantizar que los derechos de acceso de los usuarios se eliminen al finalizar el empleo o el contrato, o se ajusten al cambiar de función?</t>
  </si>
  <si>
    <t>1. ¿Existe un documento de política que cubra las prácticas de la organización sobre cómo se debe manejar la información de autenticación secreta? 2. ¿Se comunica esto a todos los usuarios?</t>
  </si>
  <si>
    <t>¿Está restringido el acceso a la información y las funciones del sistema de aplicaciones de acuerdo con la política de control de acceso?</t>
  </si>
  <si>
    <t>Cuando la política de control de acceso lo requiere, ¿se controla el acceso mediante un procedimiento de inicio de sesión seguro?</t>
  </si>
  <si>
    <t>1. ¿Los sistemas de contraseñas son interactivos? 2. ¿Se requieren contraseñas complejas?</t>
  </si>
  <si>
    <t>¿Existe una política sobre el uso de controles criptográficos?</t>
  </si>
  <si>
    <t>¿Existe una política que rija todo el ciclo de vida de las claves criptográficas?</t>
  </si>
  <si>
    <t>1. ¿Existe un perímetro de seguridad designado? 2. ¿Están segregadas y controladas adecuadamente las áreas de información sensible o crítica?</t>
  </si>
  <si>
    <t>¿Se han diseñado medidas de protección física para prevenir desastres naturales, ataques maliciosos o accidentes?</t>
  </si>
  <si>
    <t>1. ¿Existen áreas seguras? 2. Cuando existen, ¿las áreas seguras cuentan con políticas y procesos adecuados? 3. ¿Se aplican y supervisan las políticas y los procesos?</t>
  </si>
  <si>
    <t>1. ¿Hay áreas separadas de entrega/carga? 2. ¿Se controla el acceso a estas áreas? 3. ¿El acceso desde las áreas de carga está aislado de las instalaciones de procesamiento de información?</t>
  </si>
  <si>
    <t>1. ¿Existe un sistema UPS o generador de respaldo? 2. ¿Se han probado dentro de un plazo adecuado?</t>
  </si>
  <si>
    <t>1. ¿Se identifican y consideran los peligros ambientales cuando se seleccionan las ubicaciones de los equipos? 2. ¿Se consideran los riesgos de acceso no autorizado/transeúntes al ubicar el equipo?</t>
  </si>
  <si>
    <t>1. ¿Se han realizado evaluaciones de riesgo sobre la ubicación de los cables de energía y telecomunicaciones? 2. ¿Están ubicados para protegerlos de interferencias, intercepciones o daños?</t>
  </si>
  <si>
    <t>1. ¿Existe una política que cubra la seguridad de los activos fuera del sitio? 2. ¿Se comunica ampliamente esta política?</t>
  </si>
  <si>
    <t>1. ¿La organización tiene una política sobre cómo se debe proteger el equipo desatendido? 2. ¿Existen controles técnicos para asegurar el equipo que se ha dejado desatendido por descuido?</t>
  </si>
  <si>
    <t>1. ¿Existe una política de escritorio despejado/pantalla despejada? 2. ¿Se aplica esto correctamente?</t>
  </si>
  <si>
    <t>1. ¿Están bien documentados los procedimientos operativos? 2. ¿Los procedimientos están disponibles para todos los usuarios que los necesitan?</t>
  </si>
  <si>
    <t>¿Existe un proceso controlado de gestión de cambios?</t>
  </si>
  <si>
    <t>¿Existe un proceso de gestión de la capacidad?</t>
  </si>
  <si>
    <t>1. ¿Existen procesos para detectar malware? 2. ¿Existen procesos para evitar la propagación de malware? 3. ¿Tiene la organización un proceso y capacidad para recuperarse de una infección de malware?</t>
  </si>
  <si>
    <t>1. ¿Existe una política de respaldo acordada? 2. ¿La política de respaldo de la organización cumple con los marcos legales relevantes? 3. ¿Se realizan copias de seguridad de acuerdo con la política? 4. ¿Se prueban las copias de seguridad?</t>
  </si>
  <si>
    <t>¿Se mantienen registros de eventos apropiados y se revisan periódicamente?</t>
  </si>
  <si>
    <t>¿Las instalaciones de registro están protegidas contra la manipulación y el acceso no autorizado?</t>
  </si>
  <si>
    <t>¿Se mantienen, protegen y revisan regularmente los registros de administrador/operador de sistemas?</t>
  </si>
  <si>
    <t>¿Están todos los relojes dentro de la organización</t>
  </si>
  <si>
    <t>¿Existe un proceso para controlar la instalación de software en los sistemas operativos?</t>
  </si>
  <si>
    <t>1. ¿La organización tiene acceso a información actualizada y oportuna sobre vulnerabilidades técnicas? 2. ¿Existe un proceso para evaluar los riesgos y reaccionar ante nuevas vulnerabilidades a medida que se descubren?</t>
  </si>
  <si>
    <t>¿Existen procesos para restringir la forma en que los usuarios instalan el software?</t>
  </si>
  <si>
    <t>1. ¿Los Sistemas SI están sujetos a auditoría? 2. ¿El proceso de auditoría garantiza que se minimice la interrupción del negocio?</t>
  </si>
  <si>
    <t>¿Existe un proceso de administración de red?</t>
  </si>
  <si>
    <t>1. ¿La organización implementa un enfoque de gestión de riesgos que identifique todos los servicios de red y acuerdos de servicio? 2. ¿Se exige seguridad en los acuerdos y contratos con los proveedores de servicios (internos y subcontratados). 3. ¿Son obligatorios los SLA relacionados con la seguridad?</t>
  </si>
  <si>
    <t>¿La topología de red impone la segregación de redes para diferentes tareas?</t>
  </si>
  <si>
    <t>1. ¿Las políticas de la organización rigen cómo se transfiere la información? 2. ¿Se ponen a disposición de todos los empleados los procedimientos sobre cómo se deben transferir los datos? 3. ¿Existen controles técnicos pertinentes para evitar formas no autorizadas de transferencia de datos?</t>
  </si>
  <si>
    <t>¿Los contratos con partes externas y los acuerdos dentro de la organización detallan los requisitos para asegurar la información comercial en transferencia?</t>
  </si>
  <si>
    <t>¿Las políticas de seguridad cubren el uso de la transferencia de información mientras se usan sistemas de mensajería electrónica?</t>
  </si>
  <si>
    <t>1. ¿Se especifican los requisitos de seguridad de la información cuando se introducen nuevos sistemas? 2. Cuando se mejoran o actualizan los sistemas, ¿se especifican y abordan los requisitos de seguridad?</t>
  </si>
  <si>
    <t>¿Las aplicaciones que envían información a través de redes públicas protegen adecuadamente la información contra actividades fraudulentas, disputas de contratos, divulgaciones no autorizadas y modificaciones no autorizadas?</t>
  </si>
  <si>
    <t>¿Existen controles para evitar transmisiones incompletas, enrutamiento incorrecto, alteración de mensajes no autorizados, divulgación no autorizada, duplicación de mensajes no autorizados o ataques de reproducción?</t>
  </si>
  <si>
    <t>1. ¿La organización desarrolla software o sistemas? 2. De ser así, ¿existen políticas que exijan la implementación y evaluación de controles de seguridad?</t>
  </si>
  <si>
    <t>¿Existe un proceso formal de control de cambios?</t>
  </si>
  <si>
    <t>¿Existe un proceso para garantizar que se lleve a cabo una revisión técnica cuando se cambien las plataformas operativas?</t>
  </si>
  <si>
    <t>¿Existe una política que ordene cuándo y cómo se pueden cambiar o modificar los paquetes de software?</t>
  </si>
  <si>
    <t>1. ¿Se ha establecido un entorno de desarrollo seguro? 2. ¿Todos los proyectos utilizan el entorno de desarrollo seguro de forma adecuada durante el ciclo de vida del desarrollo del sistema?</t>
  </si>
  <si>
    <t>1. Cuando se ha subcontratado el desarrollo, ¿se supervisa? 2. ¿El código desarrollado externamente está sujeto a una revisión de seguridad antes de la implementación?</t>
  </si>
  <si>
    <t>Cuando se desarrollan sistemas o aplicaciones, ¿se prueba su seguridad como parte del proceso de desarrollo?</t>
  </si>
  <si>
    <t>¿Existe un proceso establecido para aceptar nuevos sistemas/aplicaciones, o actualizaciones, para su uso en producción?</t>
  </si>
  <si>
    <t>1. ¿Existe un proceso para seleccionar los datos de prueba? 2. ¿Están adecuadamente protegidos los datos de prueba?</t>
  </si>
  <si>
    <t>1. ¿Se incluye la seguridad de la información en los contratos que se establecen con proveedores y prestadores de servicios? 2. ¿Existe un enfoque de gestión de riesgos en toda la organización para las relaciones con los proveedores?</t>
  </si>
  <si>
    <t>¿Los acuerdos de proveedores incluyen requisitos para abordar la seguridad de la información dentro de la cadena de suministro de servicios y productos?</t>
  </si>
  <si>
    <t>1. ¿Se proporcionan a los proveedores requisitos de seguridad documentados? 2. ¿Se controla y supervisa el acceso de los proveedores a los activos de información y la infraestructura?</t>
  </si>
  <si>
    <t>¿Los proveedores están sujetos a revisiones y auditorías periódicas?</t>
  </si>
  <si>
    <t>¿Los cambios en la prestación de servicios están sujetos a un proceso de gestión que incluye evaluación de riesgos y seguridad?</t>
  </si>
  <si>
    <t>¿Están claramente identificadas y documentadas las responsabilidades de gestión en los procesos de gestión de incidentes?</t>
  </si>
  <si>
    <t>1. ¿Existe un proceso para el reporte oportuno de eventos de seguridad de la información? 2. ¿Existe un proceso para revisar y actuar sobre los eventos de seguridad de la información informados?</t>
  </si>
  <si>
    <t>1. ¿Existe un proceso para informar sobre las debilidades de seguridad de la información identificadas? 2. ¿Se comunica ampliamente este proceso? 3. ¿Existe un proceso para revisar y abordar los informes de manera oportuna?</t>
  </si>
  <si>
    <t>¿Existe un proceso para garantizar que los eventos de seguridad de la información se evalúen y clasifiquen correctamente?</t>
  </si>
  <si>
    <t>¿Existe un proceso o marco que permita a la organización aprender de los incidentes de seguridad de la información y reducir el impacto/probabilidad de eventos futuros?</t>
  </si>
  <si>
    <t>1. ¿Existe una política de preparación forense? 2. En el caso de un incidente de seguridad de la información, ¿se recopilan los datos relevantes de una manera que permita su uso como evidencia?</t>
  </si>
  <si>
    <t>¿La seguridad de la información está incluida en los planes de continuidad de la organización?</t>
  </si>
  <si>
    <t>¿La función de seguridad de la información de la organización tiene procesos documentados, implementados y mantenidos para mantener la continuidad del servicio durante una situación adversa?</t>
  </si>
  <si>
    <t>¿Se validan y verifican los planes de continuidad a intervalos regulares?</t>
  </si>
  <si>
    <t>1. ¿Ha identificado y documentado la organización todos los requisitos legislativos, normativos o contractuales relacionados con la seguridad? 2. ¿Está documentado el cumplimiento?</t>
  </si>
  <si>
    <t>1. ¿Se identifican y clasifican adecuadamente los datos personales? 2. ¿Están protegidos los datos personales de acuerdo con la legislación pertinente?</t>
  </si>
  <si>
    <t>Regulación de controles criptográficos</t>
  </si>
  <si>
    <t>¿Están protegidos los controles criptográficos de acuerdo con todos los acuerdos, leyes y reglamentos pertinentes?</t>
  </si>
  <si>
    <t>1. ¿El enfoque de la organización para gestionar la seguridad de la información está sujeto a una revisión independiente periódica? 2. ¿La implementación de los controles de seguridad está sujeta a una revisión independiente regular?</t>
  </si>
  <si>
    <t>1. ¿Instruye la organización a los gerentes para que revisen periódicamente el cumplimiento de la política y los procedimientos dentro de su área de responsabilidad? 2. ¿Se mantienen registros de estas revisiones?</t>
  </si>
  <si>
    <t>¿La organización realiza regularmente revisiones de cumplimiento técnico de sus sistemas de información?</t>
  </si>
  <si>
    <t>Puntos de evaluación inicial</t>
  </si>
  <si>
    <t>1. ¿Existe un procedimiento que documente cuándo y quién se pondrá en contacto con las autoridades pertinentes (aplicación de la ley, etc.)? 2. ¿Existe un proceso que detalle cómo y cuándo se requiere el contacto? 3. ¿Existe un proceso para el contacto rutinario y el intercambio de inteligencia?</t>
  </si>
  <si>
    <t>1. ¿Existe un proceso disciplinario formal que permita a la organización tomar medidas contra los empleados que hayan cometido una violación de la seguridad de la información? 2. ¿Se comunica esto a todos los empleados?</t>
  </si>
  <si>
    <t>Responsabilidad por los activos</t>
  </si>
  <si>
    <t>¿Existe un proceso o procedimiento para garantizar que la clasificación de la información esté debidamente marcada en cada activo?</t>
  </si>
  <si>
    <t>¿Las cuentas de acceso privilegiado se administran y controlan por separado?</t>
  </si>
  <si>
    <t>Controles criptográficos</t>
  </si>
  <si>
    <t>Perímetro de seguridad física</t>
  </si>
  <si>
    <t>¿Las áreas seguras tienen sistemas de control de entrada adecuados para garantizar que solo el personal autorizado tenga acceso?</t>
  </si>
  <si>
    <t>1. ¿Se han diseñado y configurado las oficinas, salas e instalaciones teniendo en cuenta la seguridad? 2. ¿Existen procesos para mantener la seguridad (p. ej., cerrar con llave, despejar escritorios, etc.)?</t>
  </si>
  <si>
    <t>¿Existe un programa riguroso de mantenimiento de los equipos?</t>
  </si>
  <si>
    <t>1. ¿Existe un proceso que controle cómo se eliminan los activos del sitio? 2. ¿Se hace cumplir este proceso? 3. ¿Se realizan controles puntuales?</t>
  </si>
  <si>
    <t>1. ¿Existe una política que cubra cómo se pueden reutilizar los activos de información? 2. Cuando se borran los datos, ¿se verifica correctamente antes de su reutilización/eliminación?</t>
  </si>
  <si>
    <t>¿La organización hace cumplir la segregación de los entornos de desarrollo, prueba y operativos?</t>
  </si>
  <si>
    <t>1. ¿Los empleados, contratistas y agentes firman acuerdos de confidencialidad o no divulgación? 2. ¿Estos acuerdos están sujetos a revisión periódica? 3. ¿Se mantienen registros de los acuerdos?</t>
  </si>
  <si>
    <t>¿Tiene la organización principios documentados sobre cómo se deben diseñar los sistemas para garantizar la seguridad?</t>
  </si>
  <si>
    <t>¿Existe un proceso de respuesta a incidentes que refleje la clasificación y gravedad de los incidentes de seguridad de la información?</t>
  </si>
  <si>
    <t>¿Las instalaciones de procesamiento de información tienen suficiente redundancia para cumplir con los requisitos de disponibilidad de las organizaciones?</t>
  </si>
  <si>
    <t>1. ¿La organización mantiene un registro de todos los derechos de propiedad intelectual y el uso de productos de software patentados? 2. ¿Supervisa la organización el uso de software sin licencia?</t>
  </si>
  <si>
    <t>¿Están los registros protegidos contra pérdida, destrucción, falsificación y acceso o divulgación no autorizados de acuerdo con los requisitos legislativos, reglamentarios, contractuales y comerciales?</t>
  </si>
  <si>
    <t>¿Está protegido el acceso al código fuente?</t>
  </si>
  <si>
    <t>¿Los programas de utilidad privilegiados están restringidos y monitoreados?</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</si>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</sst>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1"/>
      <name val="Calibri"/>
      <family val="2"/>
      <scheme val="minor"/>
    </font>
    <font>
      <b/>
      <sz val="11"/>
      <color theme="1"/>
      <name val="Calibri Light"/>
      <family val="2"/>
      <scheme val="major"/>
    </font>
    <font>
      <b/>
      <sz val="12"/>
      <color theme="1"/>
      <name val="Calibri Light"/>
      <family val="2"/>
      <scheme val="major"/>
    </font>
  </fonts>
  <fills count="5">
    <fill>
      <patternFill patternType="none"/>
    </fill>
    <fill>
      <patternFill patternType="gray125"/>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0" fillId="0" borderId="0" xfId="0" applyAlignment="1">
      <alignment vertical="center"/>
    </xf>
    <xf numFmtId="0" fontId="0" fillId="0" borderId="0" xfId="0" applyBorder="1" applyAlignment="1">
      <alignment vertical="center"/>
    </xf>
    <xf numFmtId="0" fontId="0" fillId="0" borderId="0" xfId="0" applyBorder="1" applyAlignment="1">
      <alignment vertical="center" wrapText="1"/>
    </xf>
    <xf numFmtId="0" fontId="0" fillId="0" borderId="0" xfId="0" applyBorder="1" applyAlignment="1">
      <alignment horizontal="center" vertical="center"/>
    </xf>
    <xf numFmtId="0" fontId="0" fillId="0" borderId="2" xfId="0" applyFont="1" applyFill="1" applyBorder="1" applyAlignment="1">
      <alignment vertical="center"/>
    </xf>
    <xf numFmtId="0" fontId="0" fillId="0" borderId="2" xfId="0" applyFont="1" applyFill="1" applyBorder="1" applyAlignment="1">
      <alignment vertical="center" wrapText="1"/>
    </xf>
    <xf numFmtId="0" fontId="5" fillId="0" borderId="1" xfId="0" applyFont="1" applyFill="1" applyBorder="1" applyAlignment="1">
      <alignment horizontal="center" vertical="center"/>
    </xf>
    <xf numFmtId="0" fontId="5" fillId="0" borderId="1" xfId="0" applyNumberFormat="1" applyFont="1" applyFill="1" applyBorder="1" applyAlignment="1">
      <alignment horizontal="center" vertical="center"/>
    </xf>
    <xf numFmtId="0" fontId="5" fillId="0" borderId="1" xfId="0" applyFont="1" applyFill="1" applyBorder="1" applyAlignment="1">
      <alignment vertical="center" wrapText="1"/>
    </xf>
    <xf numFmtId="0" fontId="5" fillId="0" borderId="1" xfId="0" applyFont="1" applyFill="1" applyBorder="1" applyAlignment="1">
      <alignment vertical="center"/>
    </xf>
    <xf numFmtId="9" fontId="0" fillId="0" borderId="1" xfId="0" applyNumberFormat="1" applyBorder="1" applyAlignment="1">
      <alignment horizontal="center" vertical="center"/>
    </xf>
    <xf numFmtId="9" fontId="0" fillId="0" borderId="1" xfId="0" applyNumberFormat="1" applyBorder="1" applyAlignment="1">
      <alignment vertical="center"/>
    </xf>
    <xf numFmtId="9" fontId="0" fillId="0" borderId="0" xfId="1" applyFont="1"/>
    <xf numFmtId="0" fontId="0" fillId="0" borderId="4" xfId="0" applyFont="1" applyFill="1" applyBorder="1" applyAlignment="1">
      <alignment horizontal="center" vertical="center"/>
    </xf>
    <xf numFmtId="9" fontId="0" fillId="0" borderId="0" xfId="1" applyFont="1" applyAlignment="1">
      <alignment vertical="center"/>
    </xf>
    <xf numFmtId="0" fontId="0" fillId="0" borderId="0" xfId="0" applyBorder="1" applyAlignment="1" applyProtection="1">
      <alignment vertical="center"/>
    </xf>
    <xf numFmtId="0" fontId="0" fillId="0" borderId="0" xfId="0" applyBorder="1" applyAlignment="1" applyProtection="1">
      <alignment vertical="center" wrapText="1"/>
    </xf>
    <xf numFmtId="9" fontId="0" fillId="0" borderId="0" xfId="1" applyFont="1" applyBorder="1" applyAlignment="1" applyProtection="1">
      <alignment horizontal="center" vertical="center"/>
    </xf>
    <xf numFmtId="0" fontId="0" fillId="0" borderId="0" xfId="0" applyBorder="1" applyAlignment="1" applyProtection="1">
      <alignment horizontal="center" vertical="center"/>
    </xf>
    <xf numFmtId="0" fontId="2" fillId="2" borderId="1" xfId="0" applyNumberFormat="1" applyFont="1" applyFill="1" applyBorder="1" applyAlignment="1" applyProtection="1">
      <alignment horizontal="center" vertical="center"/>
    </xf>
    <xf numFmtId="0" fontId="2" fillId="2" borderId="1" xfId="0" applyFont="1" applyFill="1" applyBorder="1" applyAlignment="1" applyProtection="1">
      <alignment horizontal="center" vertical="center"/>
    </xf>
    <xf numFmtId="0" fontId="3" fillId="3" borderId="1" xfId="0" applyFont="1" applyFill="1" applyBorder="1" applyAlignment="1" applyProtection="1">
      <alignment horizontal="center" vertical="center"/>
    </xf>
    <xf numFmtId="0" fontId="0" fillId="0" borderId="1" xfId="0" applyBorder="1" applyAlignment="1" applyProtection="1">
      <alignment horizontal="center" vertical="center"/>
    </xf>
    <xf numFmtId="0" fontId="0" fillId="0" borderId="1" xfId="0" applyBorder="1" applyAlignment="1" applyProtection="1">
      <alignment vertical="center" wrapText="1"/>
    </xf>
    <xf numFmtId="0" fontId="0" fillId="0" borderId="1" xfId="0" applyBorder="1" applyAlignment="1" applyProtection="1">
      <alignment vertical="center"/>
      <protection locked="0"/>
    </xf>
    <xf numFmtId="9" fontId="0" fillId="0" borderId="1" xfId="1" applyFont="1" applyBorder="1" applyAlignment="1" applyProtection="1">
      <alignment horizontal="center" vertical="center"/>
    </xf>
    <xf numFmtId="0" fontId="0" fillId="0" borderId="1" xfId="0" applyFont="1" applyFill="1" applyBorder="1" applyAlignment="1" applyProtection="1">
      <alignment horizontal="center" vertical="center"/>
    </xf>
    <xf numFmtId="0" fontId="0" fillId="0" borderId="1" xfId="0" applyFont="1" applyFill="1" applyBorder="1" applyAlignment="1" applyProtection="1">
      <alignment vertical="center" wrapText="1"/>
    </xf>
    <xf numFmtId="0" fontId="0" fillId="0" borderId="1" xfId="0" applyFill="1" applyBorder="1" applyAlignment="1" applyProtection="1">
      <alignment vertical="center" wrapText="1"/>
    </xf>
    <xf numFmtId="0" fontId="0" fillId="0" borderId="1" xfId="0" applyFont="1" applyFill="1" applyBorder="1" applyAlignment="1" applyProtection="1">
      <alignment vertical="center"/>
      <protection locked="0"/>
    </xf>
    <xf numFmtId="9" fontId="0" fillId="0" borderId="1" xfId="1" applyFont="1" applyFill="1" applyBorder="1" applyAlignment="1" applyProtection="1">
      <alignment horizontal="center" vertical="center"/>
    </xf>
    <xf numFmtId="0" fontId="0" fillId="0" borderId="1" xfId="0" applyBorder="1" applyAlignment="1" applyProtection="1">
      <alignment vertical="center" wrapText="1"/>
      <protection locked="0"/>
    </xf>
    <xf numFmtId="9" fontId="0" fillId="0" borderId="1" xfId="1" applyFont="1" applyBorder="1" applyAlignment="1" applyProtection="1">
      <alignment horizontal="center" vertical="center" wrapText="1"/>
    </xf>
    <xf numFmtId="0" fontId="4" fillId="2" borderId="1" xfId="0" applyFont="1" applyFill="1" applyBorder="1" applyAlignment="1" applyProtection="1">
      <alignment horizontal="center" vertical="center"/>
    </xf>
    <xf numFmtId="0" fontId="6" fillId="4" borderId="1" xfId="0" applyFont="1" applyFill="1" applyBorder="1" applyAlignment="1" applyProtection="1">
      <alignment horizontal="center" vertical="center"/>
    </xf>
    <xf numFmtId="0" fontId="6" fillId="4" borderId="1" xfId="0" applyFont="1" applyFill="1" applyBorder="1" applyAlignment="1" applyProtection="1">
      <alignment horizontal="center" vertical="center" wrapText="1"/>
    </xf>
    <xf numFmtId="9" fontId="6" fillId="4" borderId="1" xfId="1" applyFont="1" applyFill="1" applyBorder="1" applyAlignment="1" applyProtection="1">
      <alignment horizontal="center" vertical="center"/>
    </xf>
    <xf numFmtId="0" fontId="6" fillId="4" borderId="1" xfId="0" applyFont="1" applyFill="1" applyBorder="1" applyAlignment="1" applyProtection="1">
      <alignment vertical="center"/>
    </xf>
    <xf numFmtId="0" fontId="0" fillId="0" borderId="1" xfId="0" applyBorder="1" applyAlignment="1">
      <alignment vertic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3" xfId="0" applyFont="1" applyFill="1" applyBorder="1" applyAlignment="1">
      <alignment horizontal="center" vertical="center"/>
    </xf>
    <xf numFmtId="0" fontId="2" fillId="2" borderId="5"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3"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xf>
    <xf numFmtId="0" fontId="3" fillId="3" borderId="6" xfId="0" applyFont="1" applyFill="1" applyBorder="1" applyAlignment="1" applyProtection="1">
      <alignment horizontal="center" vertical="center" wrapText="1"/>
    </xf>
    <xf numFmtId="0" fontId="3" fillId="3" borderId="3" xfId="0" applyFont="1" applyFill="1" applyBorder="1" applyAlignment="1" applyProtection="1">
      <alignment horizontal="center" vertical="center" wrapText="1"/>
    </xf>
    <xf numFmtId="0" fontId="0" fillId="4" borderId="1" xfId="0" applyFill="1" applyBorder="1" applyAlignment="1">
      <alignment horizontal="center" vertical="center"/>
    </xf>
    <xf numFmtId="0" fontId="3" fillId="3" borderId="5" xfId="0" applyFont="1" applyFill="1" applyBorder="1" applyAlignment="1" applyProtection="1">
      <alignment horizontal="center" vertical="center"/>
    </xf>
    <xf numFmtId="0" fontId="3" fillId="3" borderId="6" xfId="0"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4" fillId="2" borderId="5" xfId="0" applyFont="1" applyFill="1" applyBorder="1" applyAlignment="1" applyProtection="1">
      <alignment horizontal="center" vertical="center" wrapText="1"/>
    </xf>
    <xf numFmtId="0" fontId="4" fillId="2" borderId="6" xfId="0" applyFont="1" applyFill="1" applyBorder="1" applyAlignment="1" applyProtection="1">
      <alignment horizontal="center" vertical="center" wrapText="1"/>
    </xf>
    <xf numFmtId="0" fontId="4" fillId="2" borderId="3" xfId="0" applyFont="1" applyFill="1" applyBorder="1" applyAlignment="1" applyProtection="1">
      <alignment horizontal="center" vertical="center" wrapText="1"/>
    </xf>
    <xf numFmtId="0" fontId="3" fillId="3" borderId="1" xfId="0" applyFont="1" applyFill="1" applyBorder="1" applyAlignment="1" applyProtection="1">
      <alignment horizontal="left" vertical="center" wrapText="1"/>
    </xf>
    <xf numFmtId="0" fontId="6" fillId="4" borderId="1" xfId="0" applyFont="1" applyFill="1" applyBorder="1" applyAlignment="1" applyProtection="1">
      <alignment horizontal="center" vertical="center"/>
    </xf>
    <xf numFmtId="0" fontId="2" fillId="2" borderId="1" xfId="0" applyFont="1" applyFill="1" applyBorder="1" applyAlignment="1" applyProtection="1">
      <alignment horizontal="left" vertical="center"/>
    </xf>
    <xf numFmtId="0" fontId="0" fillId="0" borderId="1" xfId="0" applyBorder="1" applyAlignment="1">
      <alignment horizontal="center" vertical="center" wrapText="1"/>
    </xf>
  </cellXfs>
  <cellStyles count="2">
    <cellStyle name="Normal" xfId="0" builtinId="0"/>
    <cellStyle name="Porcentaje" xfId="1" builtinId="5"/>
  </cellStyles>
  <dxfs count="9">
    <dxf>
      <font>
        <color theme="0"/>
      </font>
      <fill>
        <patternFill>
          <bgColor rgb="FFFF0000"/>
        </patternFill>
      </fill>
    </dxf>
    <dxf>
      <fill>
        <patternFill>
          <bgColor rgb="FFFFC000"/>
        </patternFill>
      </fill>
    </dxf>
    <dxf>
      <font>
        <color theme="0"/>
      </font>
      <fill>
        <patternFill>
          <bgColor theme="9" tint="-0.499984740745262"/>
        </patternFill>
      </fill>
    </dxf>
    <dxf>
      <font>
        <color theme="0"/>
      </font>
      <fill>
        <patternFill>
          <bgColor rgb="FFFF0000"/>
        </patternFill>
      </fill>
    </dxf>
    <dxf>
      <fill>
        <patternFill>
          <bgColor rgb="FFFFC000"/>
        </patternFill>
      </fill>
    </dxf>
    <dxf>
      <font>
        <color theme="0"/>
      </font>
      <fill>
        <patternFill>
          <bgColor theme="9" tint="-0.499984740745262"/>
        </patternFill>
      </fill>
    </dxf>
    <dxf>
      <font>
        <color theme="0"/>
      </font>
      <fill>
        <patternFill>
          <bgColor theme="9" tint="-0.24994659260841701"/>
        </patternFill>
      </fill>
    </dxf>
    <dxf>
      <fill>
        <patternFill>
          <bgColor rgb="FFFFC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mpliance%20Checklis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Checklist"/>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Views>
    <sheetView showGridLines="0" zoomScaleNormal="100" workbookViewId="0">
      <selection activeCell="G5" sqref="G5"/>
    </sheetView>
  </sheetViews>
  <sheetFormatPr baseColWidth="10" defaultColWidth="9.140625" defaultRowHeight="15" x14ac:dyDescent="0.25"/>
  <cols>
    <col min="1" max="1" width="10" style="19" customWidth="1"/>
    <col min="2" max="2" width="35.28515625" style="17" customWidth="1"/>
    <col min="3" max="3" width="41.42578125" style="17" customWidth="1"/>
    <col min="4" max="4" width="35.140625" style="16" customWidth="1"/>
    <col min="5" max="5" width="15.42578125" style="18" customWidth="1"/>
    <col min="6" max="6" width="34.28515625" style="2" customWidth="1"/>
    <col min="7" max="16384" width="9.140625" style="2"/>
  </cols>
  <sheetData>
    <row r="1" spans="1:6" ht="15.75" x14ac:dyDescent="0.25">
      <c r="A1" s="38" t="s">
        <v>0</v>
      </c>
      <c r="B1" s="58" t="s">
        <v>233</v>
      </c>
      <c r="C1" s="58"/>
      <c r="D1" s="58" t="s">
        <v>5</v>
      </c>
      <c r="E1" s="58"/>
      <c r="F1" s="50" t="s">
        <v>452</v>
      </c>
    </row>
    <row r="2" spans="1:6" ht="15.75" x14ac:dyDescent="0.25">
      <c r="A2" s="35" t="s">
        <v>1</v>
      </c>
      <c r="B2" s="36" t="s">
        <v>2</v>
      </c>
      <c r="C2" s="36" t="s">
        <v>430</v>
      </c>
      <c r="D2" s="35" t="s">
        <v>3</v>
      </c>
      <c r="E2" s="37" t="s">
        <v>4</v>
      </c>
      <c r="F2" s="50"/>
    </row>
    <row r="3" spans="1:6" x14ac:dyDescent="0.25">
      <c r="A3" s="21" t="s">
        <v>8</v>
      </c>
      <c r="B3" s="59" t="s">
        <v>6</v>
      </c>
      <c r="C3" s="59"/>
      <c r="D3" s="59"/>
      <c r="E3" s="59"/>
      <c r="F3" s="50"/>
    </row>
    <row r="4" spans="1:6" x14ac:dyDescent="0.25">
      <c r="A4" s="22" t="s">
        <v>7</v>
      </c>
      <c r="B4" s="51" t="s">
        <v>9</v>
      </c>
      <c r="C4" s="52"/>
      <c r="D4" s="52"/>
      <c r="E4" s="52"/>
      <c r="F4" s="53"/>
    </row>
    <row r="5" spans="1:6" ht="60" x14ac:dyDescent="0.25">
      <c r="A5" s="23" t="s">
        <v>10</v>
      </c>
      <c r="B5" s="24" t="s">
        <v>11</v>
      </c>
      <c r="C5" s="24" t="s">
        <v>332</v>
      </c>
      <c r="D5" s="25"/>
      <c r="E5" s="26">
        <v>0.1</v>
      </c>
      <c r="F5" s="39"/>
    </row>
    <row r="6" spans="1:6" ht="75" x14ac:dyDescent="0.25">
      <c r="A6" s="23" t="s">
        <v>13</v>
      </c>
      <c r="B6" s="24" t="s">
        <v>12</v>
      </c>
      <c r="C6" s="24" t="s">
        <v>333</v>
      </c>
      <c r="D6" s="25"/>
      <c r="E6" s="26">
        <v>0</v>
      </c>
      <c r="F6" s="39"/>
    </row>
    <row r="7" spans="1:6" x14ac:dyDescent="0.25">
      <c r="A7" s="21" t="s">
        <v>14</v>
      </c>
      <c r="B7" s="44" t="s">
        <v>15</v>
      </c>
      <c r="C7" s="45"/>
      <c r="D7" s="45"/>
      <c r="E7" s="45"/>
      <c r="F7" s="46"/>
    </row>
    <row r="8" spans="1:6" x14ac:dyDescent="0.25">
      <c r="A8" s="22" t="s">
        <v>331</v>
      </c>
      <c r="B8" s="51" t="s">
        <v>22</v>
      </c>
      <c r="C8" s="52"/>
      <c r="D8" s="52"/>
      <c r="E8" s="52"/>
      <c r="F8" s="53"/>
    </row>
    <row r="9" spans="1:6" ht="75" x14ac:dyDescent="0.25">
      <c r="A9" s="23" t="s">
        <v>21</v>
      </c>
      <c r="B9" s="24" t="s">
        <v>16</v>
      </c>
      <c r="C9" s="24" t="s">
        <v>334</v>
      </c>
      <c r="D9" s="25"/>
      <c r="E9" s="26">
        <v>0</v>
      </c>
      <c r="F9" s="39"/>
    </row>
    <row r="10" spans="1:6" ht="75" x14ac:dyDescent="0.25">
      <c r="A10" s="23" t="s">
        <v>23</v>
      </c>
      <c r="B10" s="24" t="s">
        <v>17</v>
      </c>
      <c r="C10" s="24" t="s">
        <v>335</v>
      </c>
      <c r="D10" s="25"/>
      <c r="E10" s="26">
        <v>0</v>
      </c>
      <c r="F10" s="39"/>
    </row>
    <row r="11" spans="1:6" ht="105" x14ac:dyDescent="0.25">
      <c r="A11" s="23" t="s">
        <v>24</v>
      </c>
      <c r="B11" s="24" t="s">
        <v>18</v>
      </c>
      <c r="C11" s="24" t="s">
        <v>431</v>
      </c>
      <c r="D11" s="25"/>
      <c r="E11" s="26">
        <v>0</v>
      </c>
      <c r="F11" s="39"/>
    </row>
    <row r="12" spans="1:6" ht="60" x14ac:dyDescent="0.25">
      <c r="A12" s="23" t="s">
        <v>25</v>
      </c>
      <c r="B12" s="24" t="s">
        <v>19</v>
      </c>
      <c r="C12" s="24" t="s">
        <v>336</v>
      </c>
      <c r="D12" s="25"/>
      <c r="E12" s="26">
        <v>0</v>
      </c>
      <c r="F12" s="39"/>
    </row>
    <row r="13" spans="1:6" ht="45" x14ac:dyDescent="0.25">
      <c r="A13" s="23" t="s">
        <v>26</v>
      </c>
      <c r="B13" s="24" t="s">
        <v>20</v>
      </c>
      <c r="C13" s="24" t="s">
        <v>337</v>
      </c>
      <c r="D13" s="25"/>
      <c r="E13" s="26">
        <v>0</v>
      </c>
      <c r="F13" s="39"/>
    </row>
    <row r="14" spans="1:6" x14ac:dyDescent="0.25">
      <c r="A14" s="22" t="s">
        <v>27</v>
      </c>
      <c r="B14" s="47" t="s">
        <v>28</v>
      </c>
      <c r="C14" s="48"/>
      <c r="D14" s="48"/>
      <c r="E14" s="48"/>
      <c r="F14" s="49"/>
    </row>
    <row r="15" spans="1:6" ht="105" x14ac:dyDescent="0.25">
      <c r="A15" s="23" t="s">
        <v>31</v>
      </c>
      <c r="B15" s="24" t="s">
        <v>29</v>
      </c>
      <c r="C15" s="24" t="s">
        <v>339</v>
      </c>
      <c r="D15" s="25"/>
      <c r="E15" s="26">
        <v>0</v>
      </c>
      <c r="F15" s="39"/>
    </row>
    <row r="16" spans="1:6" ht="105" x14ac:dyDescent="0.25">
      <c r="A16" s="23" t="s">
        <v>32</v>
      </c>
      <c r="B16" s="24" t="s">
        <v>30</v>
      </c>
      <c r="C16" s="24" t="s">
        <v>340</v>
      </c>
      <c r="D16" s="25"/>
      <c r="E16" s="26">
        <v>0</v>
      </c>
      <c r="F16" s="39"/>
    </row>
    <row r="17" spans="1:6" x14ac:dyDescent="0.25">
      <c r="A17" s="20" t="s">
        <v>33</v>
      </c>
      <c r="B17" s="44" t="s">
        <v>34</v>
      </c>
      <c r="C17" s="45"/>
      <c r="D17" s="45"/>
      <c r="E17" s="45"/>
      <c r="F17" s="46"/>
    </row>
    <row r="18" spans="1:6" x14ac:dyDescent="0.25">
      <c r="A18" s="22" t="s">
        <v>35</v>
      </c>
      <c r="B18" s="47" t="s">
        <v>36</v>
      </c>
      <c r="C18" s="48"/>
      <c r="D18" s="48"/>
      <c r="E18" s="48"/>
      <c r="F18" s="49"/>
    </row>
    <row r="19" spans="1:6" ht="135" x14ac:dyDescent="0.25">
      <c r="A19" s="23" t="s">
        <v>37</v>
      </c>
      <c r="B19" s="24" t="s">
        <v>38</v>
      </c>
      <c r="C19" s="24" t="s">
        <v>341</v>
      </c>
      <c r="D19" s="25"/>
      <c r="E19" s="26">
        <v>0</v>
      </c>
      <c r="F19" s="39"/>
    </row>
    <row r="20" spans="1:6" ht="105" x14ac:dyDescent="0.25">
      <c r="A20" s="23" t="s">
        <v>39</v>
      </c>
      <c r="B20" s="24" t="s">
        <v>40</v>
      </c>
      <c r="C20" s="24" t="s">
        <v>342</v>
      </c>
      <c r="D20" s="25"/>
      <c r="E20" s="26">
        <v>0</v>
      </c>
      <c r="F20" s="39"/>
    </row>
    <row r="21" spans="1:6" x14ac:dyDescent="0.25">
      <c r="A21" s="22" t="s">
        <v>41</v>
      </c>
      <c r="B21" s="57" t="s">
        <v>234</v>
      </c>
      <c r="C21" s="57"/>
      <c r="D21" s="57"/>
      <c r="E21" s="57"/>
      <c r="F21" s="39"/>
    </row>
    <row r="22" spans="1:6" ht="120" x14ac:dyDescent="0.25">
      <c r="A22" s="23" t="s">
        <v>42</v>
      </c>
      <c r="B22" s="24" t="s">
        <v>43</v>
      </c>
      <c r="C22" s="24" t="s">
        <v>343</v>
      </c>
      <c r="D22" s="25"/>
      <c r="E22" s="26">
        <v>0</v>
      </c>
      <c r="F22" s="39"/>
    </row>
    <row r="23" spans="1:6" ht="60" x14ac:dyDescent="0.25">
      <c r="A23" s="23" t="s">
        <v>44</v>
      </c>
      <c r="B23" s="24" t="s">
        <v>45</v>
      </c>
      <c r="C23" s="24" t="s">
        <v>344</v>
      </c>
      <c r="D23" s="25"/>
      <c r="E23" s="26">
        <v>0</v>
      </c>
      <c r="F23" s="39"/>
    </row>
    <row r="24" spans="1:6" ht="90" x14ac:dyDescent="0.25">
      <c r="A24" s="23" t="s">
        <v>46</v>
      </c>
      <c r="B24" s="24" t="s">
        <v>47</v>
      </c>
      <c r="C24" s="24" t="s">
        <v>432</v>
      </c>
      <c r="D24" s="25"/>
      <c r="E24" s="26">
        <v>0</v>
      </c>
      <c r="F24" s="39"/>
    </row>
    <row r="25" spans="1:6" x14ac:dyDescent="0.25">
      <c r="A25" s="22" t="s">
        <v>48</v>
      </c>
      <c r="B25" s="57" t="s">
        <v>49</v>
      </c>
      <c r="C25" s="57"/>
      <c r="D25" s="57"/>
      <c r="E25" s="57"/>
      <c r="F25" s="39"/>
    </row>
    <row r="26" spans="1:6" ht="105" x14ac:dyDescent="0.25">
      <c r="A26" s="23" t="s">
        <v>50</v>
      </c>
      <c r="B26" s="24" t="s">
        <v>51</v>
      </c>
      <c r="C26" s="24" t="s">
        <v>345</v>
      </c>
      <c r="D26" s="25"/>
      <c r="E26" s="26">
        <v>0</v>
      </c>
      <c r="F26" s="39"/>
    </row>
    <row r="27" spans="1:6" x14ac:dyDescent="0.25">
      <c r="A27" s="21" t="s">
        <v>52</v>
      </c>
      <c r="B27" s="44" t="s">
        <v>71</v>
      </c>
      <c r="C27" s="45"/>
      <c r="D27" s="45"/>
      <c r="E27" s="45"/>
      <c r="F27" s="46"/>
    </row>
    <row r="28" spans="1:6" x14ac:dyDescent="0.25">
      <c r="A28" s="22" t="s">
        <v>53</v>
      </c>
      <c r="B28" s="47" t="s">
        <v>433</v>
      </c>
      <c r="C28" s="48"/>
      <c r="D28" s="48"/>
      <c r="E28" s="48"/>
      <c r="F28" s="49"/>
    </row>
    <row r="29" spans="1:6" ht="75" x14ac:dyDescent="0.25">
      <c r="A29" s="23" t="s">
        <v>55</v>
      </c>
      <c r="B29" s="24" t="s">
        <v>235</v>
      </c>
      <c r="C29" s="24" t="s">
        <v>346</v>
      </c>
      <c r="D29" s="25"/>
      <c r="E29" s="26">
        <v>0</v>
      </c>
      <c r="F29" s="39"/>
    </row>
    <row r="30" spans="1:6" ht="60" x14ac:dyDescent="0.25">
      <c r="A30" s="23" t="s">
        <v>56</v>
      </c>
      <c r="B30" s="24" t="s">
        <v>236</v>
      </c>
      <c r="C30" s="24" t="s">
        <v>347</v>
      </c>
      <c r="D30" s="25"/>
      <c r="E30" s="26">
        <v>0</v>
      </c>
      <c r="F30" s="39"/>
    </row>
    <row r="31" spans="1:6" ht="60" x14ac:dyDescent="0.25">
      <c r="A31" s="23" t="s">
        <v>57</v>
      </c>
      <c r="B31" s="24" t="s">
        <v>237</v>
      </c>
      <c r="C31" s="24" t="s">
        <v>348</v>
      </c>
      <c r="D31" s="25"/>
      <c r="E31" s="26">
        <v>0</v>
      </c>
      <c r="F31" s="39"/>
    </row>
    <row r="32" spans="1:6" ht="60" x14ac:dyDescent="0.25">
      <c r="A32" s="23" t="s">
        <v>58</v>
      </c>
      <c r="B32" s="24" t="s">
        <v>238</v>
      </c>
      <c r="C32" s="24" t="s">
        <v>349</v>
      </c>
      <c r="D32" s="25"/>
      <c r="E32" s="26">
        <v>0</v>
      </c>
      <c r="F32" s="39"/>
    </row>
    <row r="33" spans="1:6" x14ac:dyDescent="0.25">
      <c r="A33" s="22" t="s">
        <v>59</v>
      </c>
      <c r="B33" s="47" t="s">
        <v>65</v>
      </c>
      <c r="C33" s="48"/>
      <c r="D33" s="48"/>
      <c r="E33" s="48"/>
      <c r="F33" s="49"/>
    </row>
    <row r="34" spans="1:6" ht="60" x14ac:dyDescent="0.25">
      <c r="A34" s="23" t="s">
        <v>60</v>
      </c>
      <c r="B34" s="24" t="s">
        <v>239</v>
      </c>
      <c r="C34" s="24" t="s">
        <v>350</v>
      </c>
      <c r="D34" s="25"/>
      <c r="E34" s="26">
        <v>0</v>
      </c>
      <c r="F34" s="39"/>
    </row>
    <row r="35" spans="1:6" ht="60" x14ac:dyDescent="0.25">
      <c r="A35" s="23" t="s">
        <v>61</v>
      </c>
      <c r="B35" s="24" t="s">
        <v>240</v>
      </c>
      <c r="C35" s="24" t="s">
        <v>434</v>
      </c>
      <c r="D35" s="25"/>
      <c r="E35" s="26">
        <v>0</v>
      </c>
      <c r="F35" s="39"/>
    </row>
    <row r="36" spans="1:6" ht="60" x14ac:dyDescent="0.25">
      <c r="A36" s="23" t="s">
        <v>62</v>
      </c>
      <c r="B36" s="24" t="s">
        <v>241</v>
      </c>
      <c r="C36" s="24" t="s">
        <v>351</v>
      </c>
      <c r="D36" s="25"/>
      <c r="E36" s="26">
        <v>0</v>
      </c>
      <c r="F36" s="39"/>
    </row>
    <row r="37" spans="1:6" x14ac:dyDescent="0.25">
      <c r="A37" s="22" t="s">
        <v>63</v>
      </c>
      <c r="B37" s="47" t="s">
        <v>64</v>
      </c>
      <c r="C37" s="48"/>
      <c r="D37" s="48"/>
      <c r="E37" s="48"/>
      <c r="F37" s="49"/>
    </row>
    <row r="38" spans="1:6" ht="90" x14ac:dyDescent="0.25">
      <c r="A38" s="23" t="s">
        <v>66</v>
      </c>
      <c r="B38" s="24" t="s">
        <v>242</v>
      </c>
      <c r="C38" s="24" t="s">
        <v>352</v>
      </c>
      <c r="D38" s="25"/>
      <c r="E38" s="26">
        <v>0</v>
      </c>
      <c r="F38" s="39"/>
    </row>
    <row r="39" spans="1:6" ht="30" x14ac:dyDescent="0.25">
      <c r="A39" s="23" t="s">
        <v>67</v>
      </c>
      <c r="B39" s="24" t="s">
        <v>243</v>
      </c>
      <c r="C39" s="24" t="s">
        <v>353</v>
      </c>
      <c r="D39" s="25"/>
      <c r="E39" s="26">
        <v>0</v>
      </c>
      <c r="F39" s="39"/>
    </row>
    <row r="40" spans="1:6" ht="90" x14ac:dyDescent="0.25">
      <c r="A40" s="23" t="s">
        <v>68</v>
      </c>
      <c r="B40" s="24" t="s">
        <v>244</v>
      </c>
      <c r="C40" s="24" t="s">
        <v>354</v>
      </c>
      <c r="D40" s="25"/>
      <c r="E40" s="26">
        <v>0</v>
      </c>
      <c r="F40" s="39"/>
    </row>
    <row r="41" spans="1:6" x14ac:dyDescent="0.25">
      <c r="A41" s="21" t="s">
        <v>69</v>
      </c>
      <c r="B41" s="44" t="s">
        <v>70</v>
      </c>
      <c r="C41" s="45"/>
      <c r="D41" s="45"/>
      <c r="E41" s="45"/>
      <c r="F41" s="46"/>
    </row>
    <row r="42" spans="1:6" x14ac:dyDescent="0.25">
      <c r="A42" s="22" t="s">
        <v>72</v>
      </c>
      <c r="B42" s="47" t="s">
        <v>73</v>
      </c>
      <c r="C42" s="48"/>
      <c r="D42" s="48"/>
      <c r="E42" s="48"/>
      <c r="F42" s="49"/>
    </row>
    <row r="43" spans="1:6" ht="60" x14ac:dyDescent="0.25">
      <c r="A43" s="23" t="s">
        <v>74</v>
      </c>
      <c r="B43" s="24" t="s">
        <v>245</v>
      </c>
      <c r="C43" s="24" t="s">
        <v>355</v>
      </c>
      <c r="D43" s="25"/>
      <c r="E43" s="26">
        <v>0</v>
      </c>
      <c r="F43" s="39"/>
    </row>
    <row r="44" spans="1:6" ht="75" x14ac:dyDescent="0.25">
      <c r="A44" s="23" t="s">
        <v>75</v>
      </c>
      <c r="B44" s="24" t="s">
        <v>246</v>
      </c>
      <c r="C44" s="24" t="s">
        <v>356</v>
      </c>
      <c r="D44" s="25"/>
      <c r="E44" s="26">
        <v>0</v>
      </c>
      <c r="F44" s="39"/>
    </row>
    <row r="45" spans="1:6" x14ac:dyDescent="0.25">
      <c r="A45" s="22" t="s">
        <v>76</v>
      </c>
      <c r="B45" s="47" t="s">
        <v>77</v>
      </c>
      <c r="C45" s="48"/>
      <c r="D45" s="48"/>
      <c r="E45" s="48"/>
      <c r="F45" s="49"/>
    </row>
    <row r="46" spans="1:6" ht="30" x14ac:dyDescent="0.25">
      <c r="A46" s="23" t="s">
        <v>78</v>
      </c>
      <c r="B46" s="24" t="s">
        <v>247</v>
      </c>
      <c r="C46" s="24" t="s">
        <v>357</v>
      </c>
      <c r="D46" s="25"/>
      <c r="E46" s="26">
        <v>0</v>
      </c>
      <c r="F46" s="39"/>
    </row>
    <row r="47" spans="1:6" ht="60" x14ac:dyDescent="0.25">
      <c r="A47" s="23" t="s">
        <v>79</v>
      </c>
      <c r="B47" s="24" t="s">
        <v>248</v>
      </c>
      <c r="C47" s="24" t="s">
        <v>358</v>
      </c>
      <c r="D47" s="25"/>
      <c r="E47" s="26">
        <v>0</v>
      </c>
      <c r="F47" s="39"/>
    </row>
    <row r="48" spans="1:6" ht="30" x14ac:dyDescent="0.25">
      <c r="A48" s="23" t="s">
        <v>80</v>
      </c>
      <c r="B48" s="24" t="s">
        <v>249</v>
      </c>
      <c r="C48" s="24" t="s">
        <v>435</v>
      </c>
      <c r="D48" s="25"/>
      <c r="E48" s="26">
        <v>0</v>
      </c>
      <c r="F48" s="39"/>
    </row>
    <row r="49" spans="1:6" ht="45" x14ac:dyDescent="0.25">
      <c r="A49" s="23" t="s">
        <v>81</v>
      </c>
      <c r="B49" s="24" t="s">
        <v>250</v>
      </c>
      <c r="C49" s="24" t="s">
        <v>359</v>
      </c>
      <c r="D49" s="25"/>
      <c r="E49" s="26">
        <v>0</v>
      </c>
      <c r="F49" s="39"/>
    </row>
    <row r="50" spans="1:6" ht="75" x14ac:dyDescent="0.25">
      <c r="A50" s="23" t="s">
        <v>82</v>
      </c>
      <c r="B50" s="24" t="s">
        <v>251</v>
      </c>
      <c r="C50" s="24" t="s">
        <v>360</v>
      </c>
      <c r="D50" s="25"/>
      <c r="E50" s="26">
        <v>0</v>
      </c>
      <c r="F50" s="39"/>
    </row>
    <row r="51" spans="1:6" ht="60" x14ac:dyDescent="0.25">
      <c r="A51" s="23" t="s">
        <v>83</v>
      </c>
      <c r="B51" s="24" t="s">
        <v>252</v>
      </c>
      <c r="C51" s="24" t="s">
        <v>361</v>
      </c>
      <c r="D51" s="25"/>
      <c r="E51" s="26">
        <v>0</v>
      </c>
      <c r="F51" s="39"/>
    </row>
    <row r="52" spans="1:6" x14ac:dyDescent="0.25">
      <c r="A52" s="22" t="s">
        <v>84</v>
      </c>
      <c r="B52" s="47" t="s">
        <v>85</v>
      </c>
      <c r="C52" s="48"/>
      <c r="D52" s="48"/>
      <c r="E52" s="48"/>
      <c r="F52" s="49"/>
    </row>
    <row r="53" spans="1:6" ht="75" x14ac:dyDescent="0.25">
      <c r="A53" s="23" t="s">
        <v>86</v>
      </c>
      <c r="B53" s="24" t="s">
        <v>253</v>
      </c>
      <c r="C53" s="24" t="s">
        <v>362</v>
      </c>
      <c r="D53" s="25"/>
      <c r="E53" s="26">
        <v>0</v>
      </c>
      <c r="F53" s="39"/>
    </row>
    <row r="54" spans="1:6" x14ac:dyDescent="0.25">
      <c r="A54" s="22" t="s">
        <v>87</v>
      </c>
      <c r="B54" s="47" t="s">
        <v>88</v>
      </c>
      <c r="C54" s="48"/>
      <c r="D54" s="48"/>
      <c r="E54" s="48"/>
      <c r="F54" s="49"/>
    </row>
    <row r="55" spans="1:6" ht="45" x14ac:dyDescent="0.25">
      <c r="A55" s="23" t="s">
        <v>89</v>
      </c>
      <c r="B55" s="24" t="s">
        <v>254</v>
      </c>
      <c r="C55" s="24" t="s">
        <v>363</v>
      </c>
      <c r="D55" s="25"/>
      <c r="E55" s="26">
        <v>0</v>
      </c>
      <c r="F55" s="39"/>
    </row>
    <row r="56" spans="1:6" ht="45" x14ac:dyDescent="0.25">
      <c r="A56" s="23" t="s">
        <v>90</v>
      </c>
      <c r="B56" s="24" t="s">
        <v>255</v>
      </c>
      <c r="C56" s="24" t="s">
        <v>364</v>
      </c>
      <c r="D56" s="25"/>
      <c r="E56" s="26">
        <v>0</v>
      </c>
      <c r="F56" s="39"/>
    </row>
    <row r="57" spans="1:6" ht="45" x14ac:dyDescent="0.25">
      <c r="A57" s="23" t="s">
        <v>91</v>
      </c>
      <c r="B57" s="24" t="s">
        <v>256</v>
      </c>
      <c r="C57" s="24" t="s">
        <v>365</v>
      </c>
      <c r="D57" s="25"/>
      <c r="E57" s="26">
        <v>0</v>
      </c>
      <c r="F57" s="39"/>
    </row>
    <row r="58" spans="1:6" ht="30" x14ac:dyDescent="0.25">
      <c r="A58" s="23" t="s">
        <v>92</v>
      </c>
      <c r="B58" s="24" t="s">
        <v>257</v>
      </c>
      <c r="C58" s="24" t="s">
        <v>451</v>
      </c>
      <c r="D58" s="25"/>
      <c r="E58" s="26">
        <v>0</v>
      </c>
      <c r="F58" s="39"/>
    </row>
    <row r="59" spans="1:6" ht="30" x14ac:dyDescent="0.25">
      <c r="A59" s="23" t="s">
        <v>93</v>
      </c>
      <c r="B59" s="24" t="s">
        <v>258</v>
      </c>
      <c r="C59" s="24" t="s">
        <v>450</v>
      </c>
      <c r="D59" s="25"/>
      <c r="E59" s="26">
        <v>0</v>
      </c>
      <c r="F59" s="39"/>
    </row>
    <row r="60" spans="1:6" x14ac:dyDescent="0.25">
      <c r="A60" s="21" t="s">
        <v>94</v>
      </c>
      <c r="B60" s="44" t="s">
        <v>95</v>
      </c>
      <c r="C60" s="45"/>
      <c r="D60" s="45"/>
      <c r="E60" s="45"/>
      <c r="F60" s="46"/>
    </row>
    <row r="61" spans="1:6" x14ac:dyDescent="0.25">
      <c r="A61" s="22" t="s">
        <v>96</v>
      </c>
      <c r="B61" s="47" t="s">
        <v>436</v>
      </c>
      <c r="C61" s="48"/>
      <c r="D61" s="48"/>
      <c r="E61" s="48"/>
      <c r="F61" s="49"/>
    </row>
    <row r="62" spans="1:6" ht="30" x14ac:dyDescent="0.25">
      <c r="A62" s="23" t="s">
        <v>98</v>
      </c>
      <c r="B62" s="24" t="s">
        <v>259</v>
      </c>
      <c r="C62" s="24" t="s">
        <v>366</v>
      </c>
      <c r="D62" s="25"/>
      <c r="E62" s="26">
        <v>0</v>
      </c>
      <c r="F62" s="39"/>
    </row>
    <row r="63" spans="1:6" ht="30" x14ac:dyDescent="0.25">
      <c r="A63" s="23" t="s">
        <v>99</v>
      </c>
      <c r="B63" s="24" t="s">
        <v>260</v>
      </c>
      <c r="C63" s="24" t="s">
        <v>367</v>
      </c>
      <c r="D63" s="25"/>
      <c r="E63" s="26">
        <v>0</v>
      </c>
      <c r="F63" s="39"/>
    </row>
    <row r="64" spans="1:6" x14ac:dyDescent="0.25">
      <c r="A64" s="21" t="s">
        <v>100</v>
      </c>
      <c r="B64" s="44" t="s">
        <v>101</v>
      </c>
      <c r="C64" s="45"/>
      <c r="D64" s="45"/>
      <c r="E64" s="45"/>
      <c r="F64" s="46"/>
    </row>
    <row r="65" spans="1:6" x14ac:dyDescent="0.25">
      <c r="A65" s="22" t="s">
        <v>102</v>
      </c>
      <c r="B65" s="47" t="s">
        <v>103</v>
      </c>
      <c r="C65" s="48"/>
      <c r="D65" s="48"/>
      <c r="E65" s="48"/>
      <c r="F65" s="49"/>
    </row>
    <row r="66" spans="1:6" ht="60" x14ac:dyDescent="0.25">
      <c r="A66" s="23" t="s">
        <v>104</v>
      </c>
      <c r="B66" s="24" t="s">
        <v>437</v>
      </c>
      <c r="C66" s="24" t="s">
        <v>368</v>
      </c>
      <c r="D66" s="25"/>
      <c r="E66" s="26">
        <v>0</v>
      </c>
      <c r="F66" s="39"/>
    </row>
    <row r="67" spans="1:6" ht="60" x14ac:dyDescent="0.25">
      <c r="A67" s="23" t="s">
        <v>105</v>
      </c>
      <c r="B67" s="24" t="s">
        <v>261</v>
      </c>
      <c r="C67" s="24" t="s">
        <v>438</v>
      </c>
      <c r="D67" s="25"/>
      <c r="E67" s="26">
        <v>0</v>
      </c>
      <c r="F67" s="39"/>
    </row>
    <row r="68" spans="1:6" ht="75" x14ac:dyDescent="0.25">
      <c r="A68" s="23" t="s">
        <v>106</v>
      </c>
      <c r="B68" s="24" t="s">
        <v>262</v>
      </c>
      <c r="C68" s="24" t="s">
        <v>439</v>
      </c>
      <c r="D68" s="25"/>
      <c r="E68" s="26">
        <v>0</v>
      </c>
      <c r="F68" s="39"/>
    </row>
    <row r="69" spans="1:6" ht="45" x14ac:dyDescent="0.25">
      <c r="A69" s="23" t="s">
        <v>107</v>
      </c>
      <c r="B69" s="24" t="s">
        <v>263</v>
      </c>
      <c r="C69" s="24" t="s">
        <v>369</v>
      </c>
      <c r="D69" s="25"/>
      <c r="E69" s="26">
        <v>0</v>
      </c>
      <c r="F69" s="39"/>
    </row>
    <row r="70" spans="1:6" ht="60" x14ac:dyDescent="0.25">
      <c r="A70" s="23" t="s">
        <v>108</v>
      </c>
      <c r="B70" s="24" t="s">
        <v>264</v>
      </c>
      <c r="C70" s="24" t="s">
        <v>370</v>
      </c>
      <c r="D70" s="25"/>
      <c r="E70" s="26">
        <v>0</v>
      </c>
      <c r="F70" s="39"/>
    </row>
    <row r="71" spans="1:6" ht="75" x14ac:dyDescent="0.25">
      <c r="A71" s="23" t="s">
        <v>109</v>
      </c>
      <c r="B71" s="24" t="s">
        <v>265</v>
      </c>
      <c r="C71" s="24" t="s">
        <v>371</v>
      </c>
      <c r="D71" s="25"/>
      <c r="E71" s="26">
        <v>0</v>
      </c>
      <c r="F71" s="39"/>
    </row>
    <row r="72" spans="1:6" x14ac:dyDescent="0.25">
      <c r="A72" s="22" t="s">
        <v>110</v>
      </c>
      <c r="B72" s="47" t="s">
        <v>111</v>
      </c>
      <c r="C72" s="48"/>
      <c r="D72" s="48"/>
      <c r="E72" s="48"/>
      <c r="F72" s="49"/>
    </row>
    <row r="73" spans="1:6" ht="75" x14ac:dyDescent="0.25">
      <c r="A73" s="23" t="s">
        <v>112</v>
      </c>
      <c r="B73" s="24" t="s">
        <v>266</v>
      </c>
      <c r="C73" s="24" t="s">
        <v>373</v>
      </c>
      <c r="D73" s="25"/>
      <c r="E73" s="26">
        <v>0</v>
      </c>
      <c r="F73" s="39"/>
    </row>
    <row r="74" spans="1:6" ht="45" x14ac:dyDescent="0.25">
      <c r="A74" s="23" t="s">
        <v>113</v>
      </c>
      <c r="B74" s="24" t="s">
        <v>267</v>
      </c>
      <c r="C74" s="24" t="s">
        <v>372</v>
      </c>
      <c r="D74" s="25"/>
      <c r="E74" s="26">
        <v>0</v>
      </c>
      <c r="F74" s="39"/>
    </row>
    <row r="75" spans="1:6" ht="75" x14ac:dyDescent="0.25">
      <c r="A75" s="23" t="s">
        <v>114</v>
      </c>
      <c r="B75" s="24" t="s">
        <v>268</v>
      </c>
      <c r="C75" s="24" t="s">
        <v>374</v>
      </c>
      <c r="D75" s="25"/>
      <c r="E75" s="26">
        <v>0</v>
      </c>
      <c r="F75" s="39"/>
    </row>
    <row r="76" spans="1:6" ht="30" x14ac:dyDescent="0.25">
      <c r="A76" s="23" t="s">
        <v>115</v>
      </c>
      <c r="B76" s="24" t="s">
        <v>269</v>
      </c>
      <c r="C76" s="24" t="s">
        <v>440</v>
      </c>
      <c r="D76" s="25"/>
      <c r="E76" s="26">
        <v>0</v>
      </c>
      <c r="F76" s="39"/>
    </row>
    <row r="77" spans="1:6" ht="60" x14ac:dyDescent="0.25">
      <c r="A77" s="23" t="s">
        <v>116</v>
      </c>
      <c r="B77" s="24" t="s">
        <v>270</v>
      </c>
      <c r="C77" s="24" t="s">
        <v>441</v>
      </c>
      <c r="D77" s="25"/>
      <c r="E77" s="26">
        <v>0</v>
      </c>
      <c r="F77" s="39"/>
    </row>
    <row r="78" spans="1:6" ht="45" x14ac:dyDescent="0.25">
      <c r="A78" s="23" t="s">
        <v>117</v>
      </c>
      <c r="B78" s="24" t="s">
        <v>271</v>
      </c>
      <c r="C78" s="24" t="s">
        <v>375</v>
      </c>
      <c r="D78" s="25"/>
      <c r="E78" s="26">
        <v>0</v>
      </c>
      <c r="F78" s="39"/>
    </row>
    <row r="79" spans="1:6" ht="75" x14ac:dyDescent="0.25">
      <c r="A79" s="23" t="s">
        <v>118</v>
      </c>
      <c r="B79" s="24" t="s">
        <v>272</v>
      </c>
      <c r="C79" s="24" t="s">
        <v>442</v>
      </c>
      <c r="D79" s="25"/>
      <c r="E79" s="26">
        <v>0</v>
      </c>
      <c r="F79" s="39"/>
    </row>
    <row r="80" spans="1:6" ht="75" x14ac:dyDescent="0.25">
      <c r="A80" s="23" t="s">
        <v>119</v>
      </c>
      <c r="B80" s="24" t="s">
        <v>273</v>
      </c>
      <c r="C80" s="24" t="s">
        <v>376</v>
      </c>
      <c r="D80" s="25"/>
      <c r="E80" s="26">
        <v>0</v>
      </c>
      <c r="F80" s="39"/>
    </row>
    <row r="81" spans="1:6" ht="45" x14ac:dyDescent="0.25">
      <c r="A81" s="23" t="s">
        <v>120</v>
      </c>
      <c r="B81" s="24" t="s">
        <v>274</v>
      </c>
      <c r="C81" s="24" t="s">
        <v>377</v>
      </c>
      <c r="D81" s="25"/>
      <c r="E81" s="26">
        <v>0</v>
      </c>
      <c r="F81" s="39"/>
    </row>
    <row r="82" spans="1:6" x14ac:dyDescent="0.25">
      <c r="A82" s="21" t="s">
        <v>121</v>
      </c>
      <c r="B82" s="44" t="s">
        <v>122</v>
      </c>
      <c r="C82" s="45"/>
      <c r="D82" s="45"/>
      <c r="E82" s="45"/>
      <c r="F82" s="46"/>
    </row>
    <row r="83" spans="1:6" x14ac:dyDescent="0.25">
      <c r="A83" s="22" t="s">
        <v>123</v>
      </c>
      <c r="B83" s="47" t="s">
        <v>124</v>
      </c>
      <c r="C83" s="48"/>
      <c r="D83" s="48"/>
      <c r="E83" s="48"/>
      <c r="F83" s="49"/>
    </row>
    <row r="84" spans="1:6" ht="60" x14ac:dyDescent="0.25">
      <c r="A84" s="23" t="s">
        <v>125</v>
      </c>
      <c r="B84" s="24" t="s">
        <v>275</v>
      </c>
      <c r="C84" s="24" t="s">
        <v>378</v>
      </c>
      <c r="D84" s="25"/>
      <c r="E84" s="26">
        <v>0</v>
      </c>
      <c r="F84" s="39"/>
    </row>
    <row r="85" spans="1:6" ht="30" x14ac:dyDescent="0.25">
      <c r="A85" s="23" t="s">
        <v>126</v>
      </c>
      <c r="B85" s="24" t="s">
        <v>276</v>
      </c>
      <c r="C85" s="24" t="s">
        <v>379</v>
      </c>
      <c r="D85" s="25"/>
      <c r="E85" s="26">
        <v>0</v>
      </c>
      <c r="F85" s="39"/>
    </row>
    <row r="86" spans="1:6" ht="30" x14ac:dyDescent="0.25">
      <c r="A86" s="23" t="s">
        <v>127</v>
      </c>
      <c r="B86" s="24" t="s">
        <v>277</v>
      </c>
      <c r="C86" s="24" t="s">
        <v>380</v>
      </c>
      <c r="D86" s="25"/>
      <c r="E86" s="26">
        <v>0</v>
      </c>
      <c r="F86" s="39"/>
    </row>
    <row r="87" spans="1:6" ht="45" x14ac:dyDescent="0.25">
      <c r="A87" s="23" t="s">
        <v>128</v>
      </c>
      <c r="B87" s="24" t="s">
        <v>278</v>
      </c>
      <c r="C87" s="24" t="s">
        <v>443</v>
      </c>
      <c r="D87" s="25"/>
      <c r="E87" s="26">
        <v>0</v>
      </c>
      <c r="F87" s="39"/>
    </row>
    <row r="88" spans="1:6" x14ac:dyDescent="0.25">
      <c r="A88" s="22" t="s">
        <v>129</v>
      </c>
      <c r="B88" s="47" t="s">
        <v>130</v>
      </c>
      <c r="C88" s="48"/>
      <c r="D88" s="48"/>
      <c r="E88" s="48"/>
      <c r="F88" s="49"/>
    </row>
    <row r="89" spans="1:6" ht="75" x14ac:dyDescent="0.25">
      <c r="A89" s="27" t="s">
        <v>131</v>
      </c>
      <c r="B89" s="28" t="s">
        <v>280</v>
      </c>
      <c r="C89" s="29" t="s">
        <v>381</v>
      </c>
      <c r="D89" s="30"/>
      <c r="E89" s="31">
        <v>0</v>
      </c>
      <c r="F89" s="39"/>
    </row>
    <row r="90" spans="1:6" x14ac:dyDescent="0.25">
      <c r="A90" s="22" t="s">
        <v>132</v>
      </c>
      <c r="B90" s="47" t="s">
        <v>133</v>
      </c>
      <c r="C90" s="48"/>
      <c r="D90" s="48"/>
      <c r="E90" s="48"/>
      <c r="F90" s="49"/>
    </row>
    <row r="91" spans="1:6" ht="90" x14ac:dyDescent="0.25">
      <c r="A91" s="23" t="s">
        <v>134</v>
      </c>
      <c r="B91" s="24" t="s">
        <v>279</v>
      </c>
      <c r="C91" s="24" t="s">
        <v>382</v>
      </c>
      <c r="D91" s="25"/>
      <c r="E91" s="26">
        <v>0</v>
      </c>
      <c r="F91" s="39"/>
    </row>
    <row r="92" spans="1:6" x14ac:dyDescent="0.25">
      <c r="A92" s="22" t="s">
        <v>135</v>
      </c>
      <c r="B92" s="47" t="s">
        <v>136</v>
      </c>
      <c r="C92" s="48"/>
      <c r="D92" s="48"/>
      <c r="E92" s="48"/>
      <c r="F92" s="49"/>
    </row>
    <row r="93" spans="1:6" ht="30" x14ac:dyDescent="0.25">
      <c r="A93" s="23" t="s">
        <v>137</v>
      </c>
      <c r="B93" s="24" t="s">
        <v>281</v>
      </c>
      <c r="C93" s="24" t="s">
        <v>383</v>
      </c>
      <c r="D93" s="25"/>
      <c r="E93" s="26">
        <v>0</v>
      </c>
      <c r="F93" s="39"/>
    </row>
    <row r="94" spans="1:6" ht="45" x14ac:dyDescent="0.25">
      <c r="A94" s="23" t="s">
        <v>138</v>
      </c>
      <c r="B94" s="24" t="s">
        <v>282</v>
      </c>
      <c r="C94" s="24" t="s">
        <v>384</v>
      </c>
      <c r="D94" s="25"/>
      <c r="E94" s="26">
        <v>0</v>
      </c>
      <c r="F94" s="39"/>
    </row>
    <row r="95" spans="1:6" ht="45" x14ac:dyDescent="0.25">
      <c r="A95" s="23" t="s">
        <v>139</v>
      </c>
      <c r="B95" s="24" t="s">
        <v>283</v>
      </c>
      <c r="C95" s="24" t="s">
        <v>385</v>
      </c>
      <c r="D95" s="25"/>
      <c r="E95" s="26">
        <v>0</v>
      </c>
      <c r="F95" s="39"/>
    </row>
    <row r="96" spans="1:6" ht="30" x14ac:dyDescent="0.25">
      <c r="A96" s="23" t="s">
        <v>140</v>
      </c>
      <c r="B96" s="24" t="s">
        <v>284</v>
      </c>
      <c r="C96" s="24" t="s">
        <v>386</v>
      </c>
      <c r="D96" s="25"/>
      <c r="E96" s="26">
        <v>0</v>
      </c>
      <c r="F96" s="39"/>
    </row>
    <row r="97" spans="1:6" x14ac:dyDescent="0.25">
      <c r="A97" s="22" t="s">
        <v>141</v>
      </c>
      <c r="B97" s="47" t="s">
        <v>142</v>
      </c>
      <c r="C97" s="48"/>
      <c r="D97" s="48"/>
      <c r="E97" s="48"/>
      <c r="F97" s="49"/>
    </row>
    <row r="98" spans="1:6" ht="45" x14ac:dyDescent="0.25">
      <c r="A98" s="23" t="s">
        <v>143</v>
      </c>
      <c r="B98" s="24" t="s">
        <v>285</v>
      </c>
      <c r="C98" s="24" t="s">
        <v>387</v>
      </c>
      <c r="D98" s="25"/>
      <c r="E98" s="26">
        <v>0</v>
      </c>
      <c r="F98" s="39"/>
    </row>
    <row r="99" spans="1:6" x14ac:dyDescent="0.25">
      <c r="A99" s="22" t="s">
        <v>144</v>
      </c>
      <c r="B99" s="47" t="s">
        <v>145</v>
      </c>
      <c r="C99" s="48"/>
      <c r="D99" s="48"/>
      <c r="E99" s="48"/>
      <c r="F99" s="49"/>
    </row>
    <row r="100" spans="1:6" ht="90" x14ac:dyDescent="0.25">
      <c r="A100" s="23" t="s">
        <v>146</v>
      </c>
      <c r="B100" s="24" t="s">
        <v>286</v>
      </c>
      <c r="C100" s="24" t="s">
        <v>388</v>
      </c>
      <c r="D100" s="25"/>
      <c r="E100" s="26">
        <v>0</v>
      </c>
      <c r="F100" s="39"/>
    </row>
    <row r="101" spans="1:6" ht="30" x14ac:dyDescent="0.25">
      <c r="A101" s="23" t="s">
        <v>147</v>
      </c>
      <c r="B101" s="24" t="s">
        <v>287</v>
      </c>
      <c r="C101" s="24" t="s">
        <v>389</v>
      </c>
      <c r="D101" s="25"/>
      <c r="E101" s="26">
        <v>0</v>
      </c>
      <c r="F101" s="39"/>
    </row>
    <row r="102" spans="1:6" x14ac:dyDescent="0.25">
      <c r="A102" s="22" t="s">
        <v>148</v>
      </c>
      <c r="B102" s="47" t="s">
        <v>149</v>
      </c>
      <c r="C102" s="48"/>
      <c r="D102" s="48"/>
      <c r="E102" s="48"/>
      <c r="F102" s="49"/>
    </row>
    <row r="103" spans="1:6" ht="45" x14ac:dyDescent="0.25">
      <c r="A103" s="23" t="s">
        <v>150</v>
      </c>
      <c r="B103" s="24" t="s">
        <v>288</v>
      </c>
      <c r="C103" s="24" t="s">
        <v>390</v>
      </c>
      <c r="D103" s="25"/>
      <c r="E103" s="26">
        <v>0</v>
      </c>
      <c r="F103" s="39"/>
    </row>
    <row r="104" spans="1:6" x14ac:dyDescent="0.25">
      <c r="A104" s="21" t="s">
        <v>151</v>
      </c>
      <c r="B104" s="44" t="s">
        <v>152</v>
      </c>
      <c r="C104" s="45"/>
      <c r="D104" s="45"/>
      <c r="E104" s="45"/>
      <c r="F104" s="46"/>
    </row>
    <row r="105" spans="1:6" x14ac:dyDescent="0.25">
      <c r="A105" s="22" t="s">
        <v>153</v>
      </c>
      <c r="B105" s="47" t="s">
        <v>154</v>
      </c>
      <c r="C105" s="48"/>
      <c r="D105" s="48"/>
      <c r="E105" s="48"/>
      <c r="F105" s="49"/>
    </row>
    <row r="106" spans="1:6" ht="30" x14ac:dyDescent="0.25">
      <c r="A106" s="23" t="s">
        <v>155</v>
      </c>
      <c r="B106" s="24" t="s">
        <v>156</v>
      </c>
      <c r="C106" s="24" t="s">
        <v>391</v>
      </c>
      <c r="D106" s="25"/>
      <c r="E106" s="26">
        <v>0</v>
      </c>
      <c r="F106" s="39"/>
    </row>
    <row r="107" spans="1:6" ht="120" x14ac:dyDescent="0.25">
      <c r="A107" s="23" t="s">
        <v>157</v>
      </c>
      <c r="B107" s="24" t="s">
        <v>289</v>
      </c>
      <c r="C107" s="24" t="s">
        <v>392</v>
      </c>
      <c r="D107" s="25"/>
      <c r="E107" s="26">
        <v>0</v>
      </c>
      <c r="F107" s="39"/>
    </row>
    <row r="108" spans="1:6" ht="30" x14ac:dyDescent="0.25">
      <c r="A108" s="23" t="s">
        <v>158</v>
      </c>
      <c r="B108" s="24" t="s">
        <v>290</v>
      </c>
      <c r="C108" s="24" t="s">
        <v>393</v>
      </c>
      <c r="D108" s="25"/>
      <c r="E108" s="26">
        <v>0</v>
      </c>
      <c r="F108" s="39"/>
    </row>
    <row r="109" spans="1:6" x14ac:dyDescent="0.25">
      <c r="A109" s="22" t="s">
        <v>159</v>
      </c>
      <c r="B109" s="47" t="s">
        <v>160</v>
      </c>
      <c r="C109" s="48"/>
      <c r="D109" s="48"/>
      <c r="E109" s="48"/>
      <c r="F109" s="49"/>
    </row>
    <row r="110" spans="1:6" ht="105" x14ac:dyDescent="0.25">
      <c r="A110" s="23" t="s">
        <v>161</v>
      </c>
      <c r="B110" s="24" t="s">
        <v>291</v>
      </c>
      <c r="C110" s="24" t="s">
        <v>394</v>
      </c>
      <c r="D110" s="25"/>
      <c r="E110" s="26">
        <v>0</v>
      </c>
      <c r="F110" s="39"/>
    </row>
    <row r="111" spans="1:6" ht="60" x14ac:dyDescent="0.25">
      <c r="A111" s="23" t="s">
        <v>162</v>
      </c>
      <c r="B111" s="24" t="s">
        <v>292</v>
      </c>
      <c r="C111" s="24" t="s">
        <v>395</v>
      </c>
      <c r="D111" s="25"/>
      <c r="E111" s="26">
        <v>0</v>
      </c>
      <c r="F111" s="39"/>
    </row>
    <row r="112" spans="1:6" ht="45" x14ac:dyDescent="0.25">
      <c r="A112" s="23" t="s">
        <v>163</v>
      </c>
      <c r="B112" s="24" t="s">
        <v>293</v>
      </c>
      <c r="C112" s="24" t="s">
        <v>396</v>
      </c>
      <c r="D112" s="25"/>
      <c r="E112" s="26">
        <v>0</v>
      </c>
      <c r="F112" s="39"/>
    </row>
    <row r="113" spans="1:6" ht="75" x14ac:dyDescent="0.25">
      <c r="A113" s="23" t="s">
        <v>164</v>
      </c>
      <c r="B113" s="24" t="s">
        <v>294</v>
      </c>
      <c r="C113" s="24" t="s">
        <v>444</v>
      </c>
      <c r="D113" s="25"/>
      <c r="E113" s="26">
        <v>0</v>
      </c>
      <c r="F113" s="39"/>
    </row>
    <row r="114" spans="1:6" x14ac:dyDescent="0.25">
      <c r="A114" s="21" t="s">
        <v>165</v>
      </c>
      <c r="B114" s="44" t="s">
        <v>166</v>
      </c>
      <c r="C114" s="45"/>
      <c r="D114" s="45"/>
      <c r="E114" s="45"/>
      <c r="F114" s="46"/>
    </row>
    <row r="115" spans="1:6" x14ac:dyDescent="0.25">
      <c r="A115" s="22" t="s">
        <v>167</v>
      </c>
      <c r="B115" s="47" t="s">
        <v>168</v>
      </c>
      <c r="C115" s="48"/>
      <c r="D115" s="48"/>
      <c r="E115" s="48"/>
      <c r="F115" s="49"/>
    </row>
    <row r="116" spans="1:6" ht="75" x14ac:dyDescent="0.25">
      <c r="A116" s="23" t="s">
        <v>178</v>
      </c>
      <c r="B116" s="24" t="s">
        <v>295</v>
      </c>
      <c r="C116" s="24" t="s">
        <v>397</v>
      </c>
      <c r="D116" s="25"/>
      <c r="E116" s="26">
        <v>0</v>
      </c>
      <c r="F116" s="39"/>
    </row>
    <row r="117" spans="1:6" ht="90" x14ac:dyDescent="0.25">
      <c r="A117" s="23" t="s">
        <v>179</v>
      </c>
      <c r="B117" s="24" t="s">
        <v>296</v>
      </c>
      <c r="C117" s="24" t="s">
        <v>398</v>
      </c>
      <c r="D117" s="25"/>
      <c r="E117" s="26">
        <v>0</v>
      </c>
      <c r="F117" s="39"/>
    </row>
    <row r="118" spans="1:6" ht="90" x14ac:dyDescent="0.25">
      <c r="A118" s="23" t="s">
        <v>180</v>
      </c>
      <c r="B118" s="24" t="s">
        <v>297</v>
      </c>
      <c r="C118" s="24" t="s">
        <v>399</v>
      </c>
      <c r="D118" s="25"/>
      <c r="E118" s="26">
        <v>0</v>
      </c>
      <c r="F118" s="39"/>
    </row>
    <row r="119" spans="1:6" x14ac:dyDescent="0.25">
      <c r="A119" s="22" t="s">
        <v>181</v>
      </c>
      <c r="B119" s="47" t="s">
        <v>182</v>
      </c>
      <c r="C119" s="48"/>
      <c r="D119" s="48"/>
      <c r="E119" s="48"/>
      <c r="F119" s="49"/>
    </row>
    <row r="120" spans="1:6" ht="60" x14ac:dyDescent="0.25">
      <c r="A120" s="23" t="s">
        <v>169</v>
      </c>
      <c r="B120" s="24" t="s">
        <v>298</v>
      </c>
      <c r="C120" s="24" t="s">
        <v>400</v>
      </c>
      <c r="D120" s="25"/>
      <c r="E120" s="26">
        <v>0</v>
      </c>
      <c r="F120" s="39"/>
    </row>
    <row r="121" spans="1:6" ht="30" x14ac:dyDescent="0.25">
      <c r="A121" s="23" t="s">
        <v>170</v>
      </c>
      <c r="B121" s="24" t="s">
        <v>299</v>
      </c>
      <c r="C121" s="24" t="s">
        <v>401</v>
      </c>
      <c r="D121" s="25"/>
      <c r="E121" s="26">
        <v>0</v>
      </c>
      <c r="F121" s="39"/>
    </row>
    <row r="122" spans="1:6" ht="45" x14ac:dyDescent="0.25">
      <c r="A122" s="23" t="s">
        <v>171</v>
      </c>
      <c r="B122" s="24" t="s">
        <v>300</v>
      </c>
      <c r="C122" s="24" t="s">
        <v>402</v>
      </c>
      <c r="D122" s="25"/>
      <c r="E122" s="26">
        <v>0</v>
      </c>
      <c r="F122" s="39"/>
    </row>
    <row r="123" spans="1:6" ht="45" x14ac:dyDescent="0.25">
      <c r="A123" s="23" t="s">
        <v>172</v>
      </c>
      <c r="B123" s="24" t="s">
        <v>301</v>
      </c>
      <c r="C123" s="24" t="s">
        <v>403</v>
      </c>
      <c r="D123" s="25"/>
      <c r="E123" s="26">
        <v>0</v>
      </c>
      <c r="F123" s="39"/>
    </row>
    <row r="124" spans="1:6" ht="45" x14ac:dyDescent="0.25">
      <c r="A124" s="23" t="s">
        <v>173</v>
      </c>
      <c r="B124" s="24" t="s">
        <v>302</v>
      </c>
      <c r="C124" s="24" t="s">
        <v>445</v>
      </c>
      <c r="D124" s="25"/>
      <c r="E124" s="26">
        <v>0</v>
      </c>
      <c r="F124" s="39"/>
    </row>
    <row r="125" spans="1:6" ht="75" x14ac:dyDescent="0.25">
      <c r="A125" s="23" t="s">
        <v>174</v>
      </c>
      <c r="B125" s="24" t="s">
        <v>303</v>
      </c>
      <c r="C125" s="24" t="s">
        <v>404</v>
      </c>
      <c r="D125" s="32"/>
      <c r="E125" s="33">
        <v>0</v>
      </c>
      <c r="F125" s="39"/>
    </row>
    <row r="126" spans="1:6" ht="60" x14ac:dyDescent="0.25">
      <c r="A126" s="23" t="s">
        <v>175</v>
      </c>
      <c r="B126" s="24" t="s">
        <v>304</v>
      </c>
      <c r="C126" s="24" t="s">
        <v>405</v>
      </c>
      <c r="D126" s="25"/>
      <c r="E126" s="26">
        <v>0</v>
      </c>
      <c r="F126" s="39"/>
    </row>
    <row r="127" spans="1:6" ht="45" x14ac:dyDescent="0.25">
      <c r="A127" s="23" t="s">
        <v>176</v>
      </c>
      <c r="B127" s="24" t="s">
        <v>305</v>
      </c>
      <c r="C127" s="24" t="s">
        <v>406</v>
      </c>
      <c r="D127" s="25"/>
      <c r="E127" s="26">
        <v>0</v>
      </c>
      <c r="F127" s="39"/>
    </row>
    <row r="128" spans="1:6" ht="45" x14ac:dyDescent="0.25">
      <c r="A128" s="23" t="s">
        <v>177</v>
      </c>
      <c r="B128" s="24" t="s">
        <v>306</v>
      </c>
      <c r="C128" s="24" t="s">
        <v>407</v>
      </c>
      <c r="D128" s="25"/>
      <c r="E128" s="26">
        <v>0</v>
      </c>
      <c r="F128" s="39"/>
    </row>
    <row r="129" spans="1:6" x14ac:dyDescent="0.25">
      <c r="A129" s="22" t="s">
        <v>183</v>
      </c>
      <c r="B129" s="47" t="s">
        <v>184</v>
      </c>
      <c r="C129" s="48"/>
      <c r="D129" s="48"/>
      <c r="E129" s="48"/>
      <c r="F129" s="49"/>
    </row>
    <row r="130" spans="1:6" ht="45" x14ac:dyDescent="0.25">
      <c r="A130" s="23" t="s">
        <v>185</v>
      </c>
      <c r="B130" s="24" t="s">
        <v>307</v>
      </c>
      <c r="C130" s="24" t="s">
        <v>408</v>
      </c>
      <c r="D130" s="25"/>
      <c r="E130" s="26">
        <v>0</v>
      </c>
      <c r="F130" s="39"/>
    </row>
    <row r="131" spans="1:6" x14ac:dyDescent="0.25">
      <c r="A131" s="34" t="s">
        <v>186</v>
      </c>
      <c r="B131" s="54" t="s">
        <v>187</v>
      </c>
      <c r="C131" s="55"/>
      <c r="D131" s="55"/>
      <c r="E131" s="55"/>
      <c r="F131" s="56"/>
    </row>
    <row r="132" spans="1:6" x14ac:dyDescent="0.25">
      <c r="A132" s="22" t="s">
        <v>188</v>
      </c>
      <c r="B132" s="47" t="s">
        <v>189</v>
      </c>
      <c r="C132" s="48"/>
      <c r="D132" s="48"/>
      <c r="E132" s="48"/>
      <c r="F132" s="49"/>
    </row>
    <row r="133" spans="1:6" ht="90" x14ac:dyDescent="0.25">
      <c r="A133" s="23" t="s">
        <v>190</v>
      </c>
      <c r="B133" s="24" t="s">
        <v>308</v>
      </c>
      <c r="C133" s="24" t="s">
        <v>409</v>
      </c>
      <c r="D133" s="25"/>
      <c r="E133" s="26">
        <v>0</v>
      </c>
      <c r="F133" s="39"/>
    </row>
    <row r="134" spans="1:6" ht="75" x14ac:dyDescent="0.25">
      <c r="A134" s="23" t="s">
        <v>191</v>
      </c>
      <c r="B134" s="24" t="s">
        <v>309</v>
      </c>
      <c r="C134" s="24" t="s">
        <v>411</v>
      </c>
      <c r="D134" s="25"/>
      <c r="E134" s="26">
        <v>0</v>
      </c>
      <c r="F134" s="39"/>
    </row>
    <row r="135" spans="1:6" ht="60" x14ac:dyDescent="0.25">
      <c r="A135" s="23" t="s">
        <v>192</v>
      </c>
      <c r="B135" s="24" t="s">
        <v>310</v>
      </c>
      <c r="C135" s="24" t="s">
        <v>410</v>
      </c>
      <c r="D135" s="25"/>
      <c r="E135" s="26">
        <v>0</v>
      </c>
      <c r="F135" s="39"/>
    </row>
    <row r="136" spans="1:6" x14ac:dyDescent="0.25">
      <c r="A136" s="22" t="s">
        <v>193</v>
      </c>
      <c r="B136" s="47" t="s">
        <v>194</v>
      </c>
      <c r="C136" s="48"/>
      <c r="D136" s="48"/>
      <c r="E136" s="48"/>
      <c r="F136" s="49"/>
    </row>
    <row r="137" spans="1:6" ht="30" x14ac:dyDescent="0.25">
      <c r="A137" s="23" t="s">
        <v>195</v>
      </c>
      <c r="B137" s="24" t="s">
        <v>311</v>
      </c>
      <c r="C137" s="24" t="s">
        <v>412</v>
      </c>
      <c r="D137" s="25"/>
      <c r="E137" s="26">
        <v>0</v>
      </c>
      <c r="F137" s="39"/>
    </row>
    <row r="138" spans="1:6" ht="45" x14ac:dyDescent="0.25">
      <c r="A138" s="23" t="s">
        <v>196</v>
      </c>
      <c r="B138" s="24" t="s">
        <v>312</v>
      </c>
      <c r="C138" s="24" t="s">
        <v>413</v>
      </c>
      <c r="D138" s="25"/>
      <c r="E138" s="26">
        <v>0</v>
      </c>
      <c r="F138" s="39"/>
    </row>
    <row r="139" spans="1:6" x14ac:dyDescent="0.25">
      <c r="A139" s="21" t="s">
        <v>197</v>
      </c>
      <c r="B139" s="44" t="s">
        <v>198</v>
      </c>
      <c r="C139" s="45"/>
      <c r="D139" s="45"/>
      <c r="E139" s="45"/>
      <c r="F139" s="46"/>
    </row>
    <row r="140" spans="1:6" x14ac:dyDescent="0.25">
      <c r="A140" s="22" t="s">
        <v>199</v>
      </c>
      <c r="B140" s="47" t="s">
        <v>200</v>
      </c>
      <c r="C140" s="48"/>
      <c r="D140" s="48"/>
      <c r="E140" s="48"/>
      <c r="F140" s="49"/>
    </row>
    <row r="141" spans="1:6" ht="60" x14ac:dyDescent="0.25">
      <c r="A141" s="23" t="s">
        <v>201</v>
      </c>
      <c r="B141" s="24" t="s">
        <v>313</v>
      </c>
      <c r="C141" s="24" t="s">
        <v>414</v>
      </c>
      <c r="D141" s="25"/>
      <c r="E141" s="26">
        <v>0</v>
      </c>
      <c r="F141" s="39"/>
    </row>
    <row r="142" spans="1:6" ht="75" x14ac:dyDescent="0.25">
      <c r="A142" s="23" t="s">
        <v>202</v>
      </c>
      <c r="B142" s="24" t="s">
        <v>314</v>
      </c>
      <c r="C142" s="24" t="s">
        <v>415</v>
      </c>
      <c r="D142" s="25"/>
      <c r="E142" s="26">
        <v>0</v>
      </c>
      <c r="F142" s="39"/>
    </row>
    <row r="143" spans="1:6" ht="90" x14ac:dyDescent="0.25">
      <c r="A143" s="23" t="s">
        <v>203</v>
      </c>
      <c r="B143" s="24" t="s">
        <v>315</v>
      </c>
      <c r="C143" s="24" t="s">
        <v>416</v>
      </c>
      <c r="D143" s="25"/>
      <c r="E143" s="26">
        <v>0</v>
      </c>
      <c r="F143" s="39"/>
    </row>
    <row r="144" spans="1:6" ht="45" x14ac:dyDescent="0.25">
      <c r="A144" s="23" t="s">
        <v>204</v>
      </c>
      <c r="B144" s="24" t="s">
        <v>316</v>
      </c>
      <c r="C144" s="24" t="s">
        <v>417</v>
      </c>
      <c r="D144" s="25"/>
      <c r="E144" s="26">
        <v>0</v>
      </c>
      <c r="F144" s="39"/>
    </row>
    <row r="145" spans="1:6" ht="45" x14ac:dyDescent="0.25">
      <c r="A145" s="23" t="s">
        <v>205</v>
      </c>
      <c r="B145" s="24" t="s">
        <v>317</v>
      </c>
      <c r="C145" s="24" t="s">
        <v>446</v>
      </c>
      <c r="D145" s="25"/>
      <c r="E145" s="26">
        <v>0</v>
      </c>
      <c r="F145" s="39"/>
    </row>
    <row r="146" spans="1:6" ht="60" x14ac:dyDescent="0.25">
      <c r="A146" s="23" t="s">
        <v>206</v>
      </c>
      <c r="B146" s="24" t="s">
        <v>318</v>
      </c>
      <c r="C146" s="24" t="s">
        <v>418</v>
      </c>
      <c r="D146" s="25"/>
      <c r="E146" s="26">
        <v>0</v>
      </c>
      <c r="F146" s="39"/>
    </row>
    <row r="147" spans="1:6" ht="75" x14ac:dyDescent="0.25">
      <c r="A147" s="23" t="s">
        <v>207</v>
      </c>
      <c r="B147" s="24" t="s">
        <v>319</v>
      </c>
      <c r="C147" s="24" t="s">
        <v>419</v>
      </c>
      <c r="D147" s="25"/>
      <c r="E147" s="26">
        <v>0</v>
      </c>
      <c r="F147" s="39"/>
    </row>
    <row r="148" spans="1:6" x14ac:dyDescent="0.25">
      <c r="A148" s="21" t="s">
        <v>208</v>
      </c>
      <c r="B148" s="44" t="s">
        <v>209</v>
      </c>
      <c r="C148" s="45"/>
      <c r="D148" s="45"/>
      <c r="E148" s="45"/>
      <c r="F148" s="46"/>
    </row>
    <row r="149" spans="1:6" x14ac:dyDescent="0.25">
      <c r="A149" s="22" t="s">
        <v>210</v>
      </c>
      <c r="B149" s="47" t="s">
        <v>211</v>
      </c>
      <c r="C149" s="48"/>
      <c r="D149" s="48"/>
      <c r="E149" s="48"/>
      <c r="F149" s="49"/>
    </row>
    <row r="150" spans="1:6" ht="45" x14ac:dyDescent="0.25">
      <c r="A150" s="23" t="s">
        <v>212</v>
      </c>
      <c r="B150" s="24" t="s">
        <v>320</v>
      </c>
      <c r="C150" s="24" t="s">
        <v>420</v>
      </c>
      <c r="D150" s="25"/>
      <c r="E150" s="26">
        <v>0</v>
      </c>
      <c r="F150" s="39"/>
    </row>
    <row r="151" spans="1:6" ht="75" x14ac:dyDescent="0.25">
      <c r="A151" s="23" t="s">
        <v>213</v>
      </c>
      <c r="B151" s="24" t="s">
        <v>321</v>
      </c>
      <c r="C151" s="24" t="s">
        <v>421</v>
      </c>
      <c r="D151" s="25"/>
      <c r="E151" s="26">
        <v>0</v>
      </c>
      <c r="F151" s="39"/>
    </row>
    <row r="152" spans="1:6" ht="45" x14ac:dyDescent="0.25">
      <c r="A152" s="23" t="s">
        <v>214</v>
      </c>
      <c r="B152" s="24" t="s">
        <v>322</v>
      </c>
      <c r="C152" s="24" t="s">
        <v>422</v>
      </c>
      <c r="D152" s="25"/>
      <c r="E152" s="26">
        <v>0</v>
      </c>
      <c r="F152" s="39"/>
    </row>
    <row r="153" spans="1:6" x14ac:dyDescent="0.25">
      <c r="A153" s="22" t="s">
        <v>215</v>
      </c>
      <c r="B153" s="47" t="s">
        <v>217</v>
      </c>
      <c r="C153" s="48"/>
      <c r="D153" s="48"/>
      <c r="E153" s="48"/>
      <c r="F153" s="49"/>
    </row>
    <row r="154" spans="1:6" ht="60" x14ac:dyDescent="0.25">
      <c r="A154" s="23" t="s">
        <v>216</v>
      </c>
      <c r="B154" s="24" t="s">
        <v>323</v>
      </c>
      <c r="C154" s="24" t="s">
        <v>447</v>
      </c>
      <c r="D154" s="25"/>
      <c r="E154" s="26">
        <v>0</v>
      </c>
      <c r="F154" s="39"/>
    </row>
    <row r="155" spans="1:6" x14ac:dyDescent="0.25">
      <c r="A155" s="21" t="s">
        <v>218</v>
      </c>
      <c r="B155" s="44" t="s">
        <v>219</v>
      </c>
      <c r="C155" s="45"/>
      <c r="D155" s="45"/>
      <c r="E155" s="45"/>
      <c r="F155" s="46"/>
    </row>
    <row r="156" spans="1:6" ht="15" customHeight="1" x14ac:dyDescent="0.25">
      <c r="A156" s="22" t="s">
        <v>220</v>
      </c>
      <c r="B156" s="47" t="s">
        <v>221</v>
      </c>
      <c r="C156" s="48"/>
      <c r="D156" s="48"/>
      <c r="E156" s="48"/>
      <c r="F156" s="49"/>
    </row>
    <row r="157" spans="1:6" ht="75" x14ac:dyDescent="0.25">
      <c r="A157" s="23" t="s">
        <v>222</v>
      </c>
      <c r="B157" s="24" t="s">
        <v>324</v>
      </c>
      <c r="C157" s="24" t="s">
        <v>423</v>
      </c>
      <c r="D157" s="25"/>
      <c r="E157" s="26">
        <v>0</v>
      </c>
      <c r="F157" s="39"/>
    </row>
    <row r="158" spans="1:6" ht="75" x14ac:dyDescent="0.25">
      <c r="A158" s="23" t="s">
        <v>223</v>
      </c>
      <c r="B158" s="24" t="s">
        <v>325</v>
      </c>
      <c r="C158" s="24" t="s">
        <v>448</v>
      </c>
      <c r="D158" s="25"/>
      <c r="E158" s="26">
        <v>0</v>
      </c>
      <c r="F158" s="39"/>
    </row>
    <row r="159" spans="1:6" ht="75" x14ac:dyDescent="0.25">
      <c r="A159" s="23" t="s">
        <v>224</v>
      </c>
      <c r="B159" s="24" t="s">
        <v>326</v>
      </c>
      <c r="C159" s="24" t="s">
        <v>449</v>
      </c>
      <c r="D159" s="25"/>
      <c r="E159" s="26">
        <v>0</v>
      </c>
      <c r="F159" s="39"/>
    </row>
    <row r="160" spans="1:6" ht="60" x14ac:dyDescent="0.25">
      <c r="A160" s="23" t="s">
        <v>225</v>
      </c>
      <c r="B160" s="24" t="s">
        <v>327</v>
      </c>
      <c r="C160" s="24" t="s">
        <v>424</v>
      </c>
      <c r="D160" s="25"/>
      <c r="E160" s="26">
        <v>0</v>
      </c>
      <c r="F160" s="39"/>
    </row>
    <row r="161" spans="1:6" ht="45" x14ac:dyDescent="0.25">
      <c r="A161" s="23" t="s">
        <v>226</v>
      </c>
      <c r="B161" s="24" t="s">
        <v>425</v>
      </c>
      <c r="C161" s="24" t="s">
        <v>426</v>
      </c>
      <c r="D161" s="25"/>
      <c r="E161" s="26">
        <v>0</v>
      </c>
      <c r="F161" s="39"/>
    </row>
    <row r="162" spans="1:6" x14ac:dyDescent="0.25">
      <c r="A162" s="22" t="s">
        <v>227</v>
      </c>
      <c r="B162" s="47" t="s">
        <v>228</v>
      </c>
      <c r="C162" s="48"/>
      <c r="D162" s="48"/>
      <c r="E162" s="48"/>
      <c r="F162" s="49"/>
    </row>
    <row r="163" spans="1:6" ht="90" x14ac:dyDescent="0.25">
      <c r="A163" s="23" t="s">
        <v>229</v>
      </c>
      <c r="B163" s="24" t="s">
        <v>328</v>
      </c>
      <c r="C163" s="24" t="s">
        <v>427</v>
      </c>
      <c r="D163" s="25"/>
      <c r="E163" s="26">
        <v>0</v>
      </c>
      <c r="F163" s="39"/>
    </row>
    <row r="164" spans="1:6" ht="90" x14ac:dyDescent="0.25">
      <c r="A164" s="23" t="s">
        <v>230</v>
      </c>
      <c r="B164" s="24" t="s">
        <v>329</v>
      </c>
      <c r="C164" s="24" t="s">
        <v>428</v>
      </c>
      <c r="D164" s="25"/>
      <c r="E164" s="26">
        <v>0</v>
      </c>
      <c r="F164" s="39"/>
    </row>
    <row r="165" spans="1:6" ht="45" x14ac:dyDescent="0.25">
      <c r="A165" s="23" t="s">
        <v>231</v>
      </c>
      <c r="B165" s="24" t="s">
        <v>330</v>
      </c>
      <c r="C165" s="24" t="s">
        <v>429</v>
      </c>
      <c r="D165" s="25"/>
      <c r="E165" s="26">
        <v>0</v>
      </c>
      <c r="F165" s="39"/>
    </row>
  </sheetData>
  <sheetProtection selectLockedCells="1"/>
  <mergeCells count="52">
    <mergeCell ref="B21:E21"/>
    <mergeCell ref="B17:F17"/>
    <mergeCell ref="B18:F18"/>
    <mergeCell ref="B1:C1"/>
    <mergeCell ref="D1:E1"/>
    <mergeCell ref="B3:E3"/>
    <mergeCell ref="B82:F82"/>
    <mergeCell ref="B83:F83"/>
    <mergeCell ref="B88:F88"/>
    <mergeCell ref="B90:F90"/>
    <mergeCell ref="B25:E25"/>
    <mergeCell ref="B27:F27"/>
    <mergeCell ref="B28:F28"/>
    <mergeCell ref="B33:F33"/>
    <mergeCell ref="B37:F37"/>
    <mergeCell ref="B129:F129"/>
    <mergeCell ref="B131:F131"/>
    <mergeCell ref="B132:F132"/>
    <mergeCell ref="B139:F139"/>
    <mergeCell ref="B105:F105"/>
    <mergeCell ref="B109:F109"/>
    <mergeCell ref="B114:F114"/>
    <mergeCell ref="B115:F115"/>
    <mergeCell ref="B119:F119"/>
    <mergeCell ref="F1:F3"/>
    <mergeCell ref="B4:F4"/>
    <mergeCell ref="B7:F7"/>
    <mergeCell ref="B8:F8"/>
    <mergeCell ref="B14:F14"/>
    <mergeCell ref="B41:F41"/>
    <mergeCell ref="B42:F42"/>
    <mergeCell ref="B52:F52"/>
    <mergeCell ref="B45:F45"/>
    <mergeCell ref="B54:F54"/>
    <mergeCell ref="B60:F60"/>
    <mergeCell ref="B61:F61"/>
    <mergeCell ref="B64:F64"/>
    <mergeCell ref="B65:F65"/>
    <mergeCell ref="B72:F72"/>
    <mergeCell ref="B92:F92"/>
    <mergeCell ref="B97:F97"/>
    <mergeCell ref="B99:F99"/>
    <mergeCell ref="B102:F102"/>
    <mergeCell ref="B104:F104"/>
    <mergeCell ref="B155:F155"/>
    <mergeCell ref="B162:F162"/>
    <mergeCell ref="B156:F156"/>
    <mergeCell ref="B140:F140"/>
    <mergeCell ref="B136:F136"/>
    <mergeCell ref="B148:F148"/>
    <mergeCell ref="B149:F149"/>
    <mergeCell ref="B153:F153"/>
  </mergeCells>
  <conditionalFormatting sqref="E1 E3 E5:E155 E157:E165">
    <cfRule type="cellIs" dxfId="8" priority="1" stopIfTrue="1" operator="lessThanOrEqual">
      <formula>0.25</formula>
    </cfRule>
    <cfRule type="cellIs" dxfId="7" priority="2" stopIfTrue="1" operator="between">
      <formula>0.251</formula>
      <formula>0.75</formula>
    </cfRule>
    <cfRule type="cellIs" dxfId="6" priority="3" operator="greaterThan">
      <formula>0.75</formula>
    </cfRule>
  </conditionalFormatting>
  <dataValidations count="1">
    <dataValidation type="list" allowBlank="1" showInputMessage="1" showErrorMessage="1" sqref="E1 E3 E5:E155 E157:E1048576">
      <formula1>Status</formula1>
    </dataValidation>
  </dataValidations>
  <pageMargins left="0.25" right="0.25" top="0.75" bottom="0.75" header="0.3" footer="0.3"/>
  <pageSetup paperSize="9" orientation="landscape" r:id="rId1"/>
  <headerFooter>
    <oddHeader>&amp;L&amp;10&amp;K08+000www.halkynconsulting.co.uk&amp;C&amp;"+,Bold"&amp;12ISO 27001:2013
Compliance Checklist&amp;R&amp;10&amp;K08+000Halkyn Consulting Ltd</oddHeader>
    <oddFooter>&amp;LPage &amp;P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C21"/>
  <sheetViews>
    <sheetView showGridLines="0" workbookViewId="0">
      <selection activeCell="F9" sqref="F9"/>
    </sheetView>
  </sheetViews>
  <sheetFormatPr baseColWidth="10" defaultColWidth="9.140625" defaultRowHeight="15" x14ac:dyDescent="0.25"/>
  <cols>
    <col min="1" max="1" width="11.42578125" style="4" customWidth="1"/>
    <col min="2" max="2" width="64.85546875" style="3" customWidth="1"/>
    <col min="3" max="3" width="16" style="1" customWidth="1"/>
    <col min="4" max="16384" width="9.140625" style="1"/>
  </cols>
  <sheetData>
    <row r="1" spans="1:3" ht="21" customHeight="1" x14ac:dyDescent="0.25">
      <c r="A1" s="41" t="s">
        <v>1</v>
      </c>
      <c r="B1" s="42" t="s">
        <v>2</v>
      </c>
      <c r="C1" s="40" t="s">
        <v>4</v>
      </c>
    </row>
    <row r="2" spans="1:3" ht="21" customHeight="1" x14ac:dyDescent="0.25">
      <c r="A2" s="7" t="s">
        <v>8</v>
      </c>
      <c r="B2" s="10" t="s">
        <v>6</v>
      </c>
      <c r="C2" s="11">
        <f>AVERAGE('[2]Compliance Checklist'!E5:E6)</f>
        <v>0.05</v>
      </c>
    </row>
    <row r="3" spans="1:3" ht="21" customHeight="1" x14ac:dyDescent="0.25">
      <c r="A3" s="7" t="s">
        <v>14</v>
      </c>
      <c r="B3" s="10" t="s">
        <v>15</v>
      </c>
      <c r="C3" s="11">
        <f>AVERAGE('[2]Compliance Checklist'!E9:E13,'[2]Compliance Checklist'!E15,'[2]Compliance Checklist'!E16)</f>
        <v>0</v>
      </c>
    </row>
    <row r="4" spans="1:3" ht="21" customHeight="1" x14ac:dyDescent="0.25">
      <c r="A4" s="8" t="s">
        <v>33</v>
      </c>
      <c r="B4" s="10" t="s">
        <v>34</v>
      </c>
      <c r="C4" s="11">
        <f>AVERAGE('[2]Compliance Checklist'!E19,'[2]Compliance Checklist'!E20,'[2]Compliance Checklist'!E22,'[2]Compliance Checklist'!E23,'[2]Compliance Checklist'!E24,'[2]Compliance Checklist'!E26)</f>
        <v>0</v>
      </c>
    </row>
    <row r="5" spans="1:3" ht="21" customHeight="1" x14ac:dyDescent="0.25">
      <c r="A5" s="7" t="s">
        <v>52</v>
      </c>
      <c r="B5" s="10" t="s">
        <v>71</v>
      </c>
      <c r="C5" s="11">
        <f>AVERAGE('[2]Compliance Checklist'!E29:E32,'[2]Compliance Checklist'!E34:E36,'[2]Compliance Checklist'!E38:E40)</f>
        <v>0</v>
      </c>
    </row>
    <row r="6" spans="1:3" ht="21" customHeight="1" x14ac:dyDescent="0.25">
      <c r="A6" s="7" t="s">
        <v>69</v>
      </c>
      <c r="B6" s="10" t="s">
        <v>70</v>
      </c>
      <c r="C6" s="11">
        <f>AVERAGE('[2]Compliance Checklist'!E43:E44,'[2]Compliance Checklist'!E46:E51,'[2]Compliance Checklist'!E53,'[2]Compliance Checklist'!E55:E59)</f>
        <v>0</v>
      </c>
    </row>
    <row r="7" spans="1:3" ht="21" customHeight="1" x14ac:dyDescent="0.25">
      <c r="A7" s="7" t="s">
        <v>94</v>
      </c>
      <c r="B7" s="10" t="s">
        <v>95</v>
      </c>
      <c r="C7" s="11">
        <f>AVERAGE('[2]Compliance Checklist'!E62:E63)</f>
        <v>0</v>
      </c>
    </row>
    <row r="8" spans="1:3" ht="21" customHeight="1" x14ac:dyDescent="0.25">
      <c r="A8" s="7" t="s">
        <v>100</v>
      </c>
      <c r="B8" s="9" t="s">
        <v>101</v>
      </c>
      <c r="C8" s="11">
        <f>AVERAGE('[2]Compliance Checklist'!E66:E71,'[2]Compliance Checklist'!E73:E81)</f>
        <v>0</v>
      </c>
    </row>
    <row r="9" spans="1:3" ht="21" customHeight="1" x14ac:dyDescent="0.25">
      <c r="A9" s="7" t="s">
        <v>121</v>
      </c>
      <c r="B9" s="9" t="s">
        <v>122</v>
      </c>
      <c r="C9" s="11">
        <f>AVERAGE('[2]Compliance Checklist'!E84:E87,'[2]Compliance Checklist'!E89,'[2]Compliance Checklist'!E91,'[2]Compliance Checklist'!E93:E96,'[2]Compliance Checklist'!E98,'[2]Compliance Checklist'!E100:E101,'[2]Compliance Checklist'!E103)</f>
        <v>0</v>
      </c>
    </row>
    <row r="10" spans="1:3" ht="21" customHeight="1" x14ac:dyDescent="0.25">
      <c r="A10" s="7" t="s">
        <v>151</v>
      </c>
      <c r="B10" s="9" t="s">
        <v>152</v>
      </c>
      <c r="C10" s="11">
        <f>AVERAGE('[2]Compliance Checklist'!E106:E108,'[2]Compliance Checklist'!E110:E113)</f>
        <v>0</v>
      </c>
    </row>
    <row r="11" spans="1:3" ht="21" customHeight="1" x14ac:dyDescent="0.25">
      <c r="A11" s="7" t="s">
        <v>165</v>
      </c>
      <c r="B11" s="9" t="s">
        <v>166</v>
      </c>
      <c r="C11" s="11">
        <f>AVERAGE('[2]Compliance Checklist'!E116:E118,'[2]Compliance Checklist'!E120:E124,'[2]Compliance Checklist'!E126:E128,'[2]Compliance Checklist'!E130)</f>
        <v>0</v>
      </c>
    </row>
    <row r="12" spans="1:3" ht="21" customHeight="1" x14ac:dyDescent="0.25">
      <c r="A12" s="7" t="s">
        <v>186</v>
      </c>
      <c r="B12" s="9" t="s">
        <v>187</v>
      </c>
      <c r="C12" s="11">
        <f>AVERAGE('[2]Compliance Checklist'!E133:E135,'[2]Compliance Checklist'!E137:E138)</f>
        <v>0</v>
      </c>
    </row>
    <row r="13" spans="1:3" ht="21" customHeight="1" x14ac:dyDescent="0.25">
      <c r="A13" s="7" t="s">
        <v>197</v>
      </c>
      <c r="B13" s="9" t="s">
        <v>198</v>
      </c>
      <c r="C13" s="11">
        <f>AVERAGE('[2]Compliance Checklist'!E141:E147)</f>
        <v>0</v>
      </c>
    </row>
    <row r="14" spans="1:3" ht="21" customHeight="1" x14ac:dyDescent="0.25">
      <c r="A14" s="7" t="s">
        <v>208</v>
      </c>
      <c r="B14" s="9" t="s">
        <v>209</v>
      </c>
      <c r="C14" s="11">
        <f>AVERAGE('[2]Compliance Checklist'!E150:E152,'[2]Compliance Checklist'!E154)</f>
        <v>0</v>
      </c>
    </row>
    <row r="15" spans="1:3" ht="21" customHeight="1" x14ac:dyDescent="0.25">
      <c r="A15" s="7" t="s">
        <v>218</v>
      </c>
      <c r="B15" s="9" t="s">
        <v>219</v>
      </c>
      <c r="C15" s="11">
        <f>AVERAGE('[2]Compliance Checklist'!E157:E161,'[2]Compliance Checklist'!E163:E165)</f>
        <v>0</v>
      </c>
    </row>
    <row r="19" spans="1:3" x14ac:dyDescent="0.25">
      <c r="A19" s="60" t="s">
        <v>232</v>
      </c>
      <c r="B19" s="60"/>
      <c r="C19" s="12">
        <f>AVERAGE(C2:C15)</f>
        <v>3.5714285714285718E-3</v>
      </c>
    </row>
    <row r="21" spans="1:3" x14ac:dyDescent="0.25">
      <c r="C21" s="15"/>
    </row>
  </sheetData>
  <sheetProtection selectLockedCells="1" selectUnlockedCells="1"/>
  <mergeCells count="1">
    <mergeCell ref="A19:B19"/>
  </mergeCells>
  <conditionalFormatting sqref="C2:C15 C19">
    <cfRule type="cellIs" dxfId="5" priority="1" stopIfTrue="1" operator="greaterThan">
      <formula>0.75</formula>
    </cfRule>
    <cfRule type="cellIs" dxfId="4" priority="2" stopIfTrue="1" operator="greaterThanOrEqual">
      <formula>0.25</formula>
    </cfRule>
    <cfRule type="cellIs" dxfId="3" priority="3" operator="lessThan">
      <formula>0.25</formula>
    </cfRule>
  </conditionalFormatting>
  <pageMargins left="0.51" right="0.51181102362204722" top="1.46" bottom="1.05" header="0.52" footer="0.49"/>
  <pageSetup paperSize="9" orientation="portrait" r:id="rId1"/>
  <headerFooter>
    <oddHeader>&amp;L&amp;10&amp;K04+000www.halkynconsulting.co.uk&amp;C&amp;"-,Bold"&amp;14ISO27001:2013 Compliance
Status Report&amp;R&amp;10&amp;K04+000info@halkynconsulting.co.uk</oddHeader>
    <oddFooter>&amp;L&amp;D&amp;CPage 1 of 1&amp;RHalkyn Consulting Ltd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C36"/>
  <sheetViews>
    <sheetView showGridLines="0" tabSelected="1" workbookViewId="0">
      <selection activeCell="E24" sqref="E24"/>
    </sheetView>
  </sheetViews>
  <sheetFormatPr baseColWidth="10" defaultColWidth="9.140625" defaultRowHeight="15" x14ac:dyDescent="0.25"/>
  <cols>
    <col min="1" max="1" width="14.42578125" customWidth="1"/>
    <col min="2" max="2" width="67.5703125" customWidth="1"/>
    <col min="3" max="3" width="11.5703125" customWidth="1"/>
  </cols>
  <sheetData>
    <row r="1" spans="1:3" ht="15.75" x14ac:dyDescent="0.25">
      <c r="A1" s="43" t="s">
        <v>1</v>
      </c>
      <c r="B1" s="42" t="s">
        <v>2</v>
      </c>
      <c r="C1" s="40" t="s">
        <v>4</v>
      </c>
    </row>
    <row r="2" spans="1:3" x14ac:dyDescent="0.25">
      <c r="A2" s="14" t="s">
        <v>7</v>
      </c>
      <c r="B2" s="5" t="s">
        <v>9</v>
      </c>
      <c r="C2" s="11">
        <f>AVERAGE('[2]Compliance Checklist'!E5:E6)</f>
        <v>0.05</v>
      </c>
    </row>
    <row r="3" spans="1:3" x14ac:dyDescent="0.25">
      <c r="A3" s="14" t="s">
        <v>331</v>
      </c>
      <c r="B3" s="5" t="s">
        <v>22</v>
      </c>
      <c r="C3" s="11">
        <f>AVERAGE('[2]Compliance Checklist'!E9:E13)</f>
        <v>0</v>
      </c>
    </row>
    <row r="4" spans="1:3" x14ac:dyDescent="0.25">
      <c r="A4" s="14" t="s">
        <v>27</v>
      </c>
      <c r="B4" s="6" t="s">
        <v>28</v>
      </c>
      <c r="C4" s="11">
        <f>AVERAGE('[2]Compliance Checklist'!E15:E16)</f>
        <v>0</v>
      </c>
    </row>
    <row r="5" spans="1:3" x14ac:dyDescent="0.25">
      <c r="A5" s="14" t="s">
        <v>35</v>
      </c>
      <c r="B5" s="6" t="s">
        <v>36</v>
      </c>
      <c r="C5" s="11">
        <f>AVERAGE('[2]Compliance Checklist'!E19:E20)</f>
        <v>0</v>
      </c>
    </row>
    <row r="6" spans="1:3" x14ac:dyDescent="0.25">
      <c r="A6" s="14" t="s">
        <v>41</v>
      </c>
      <c r="B6" s="6" t="s">
        <v>234</v>
      </c>
      <c r="C6" s="11">
        <f>AVERAGE('[2]Compliance Checklist'!E22:E24)</f>
        <v>0</v>
      </c>
    </row>
    <row r="7" spans="1:3" x14ac:dyDescent="0.25">
      <c r="A7" s="14" t="s">
        <v>48</v>
      </c>
      <c r="B7" s="6" t="s">
        <v>49</v>
      </c>
      <c r="C7" s="11">
        <f>AVERAGE('[2]Compliance Checklist'!E26)</f>
        <v>0</v>
      </c>
    </row>
    <row r="8" spans="1:3" x14ac:dyDescent="0.25">
      <c r="A8" s="14" t="s">
        <v>53</v>
      </c>
      <c r="B8" s="6" t="s">
        <v>54</v>
      </c>
      <c r="C8" s="11">
        <f>AVERAGE('[2]Compliance Checklist'!E29:E32)</f>
        <v>0</v>
      </c>
    </row>
    <row r="9" spans="1:3" x14ac:dyDescent="0.25">
      <c r="A9" s="14" t="s">
        <v>59</v>
      </c>
      <c r="B9" s="6" t="s">
        <v>65</v>
      </c>
      <c r="C9" s="11">
        <f>AVERAGE('[2]Compliance Checklist'!E34:E36)</f>
        <v>0</v>
      </c>
    </row>
    <row r="10" spans="1:3" x14ac:dyDescent="0.25">
      <c r="A10" s="14" t="s">
        <v>63</v>
      </c>
      <c r="B10" s="6" t="s">
        <v>64</v>
      </c>
      <c r="C10" s="11">
        <f>AVERAGE('[2]Compliance Checklist'!E38:E40)</f>
        <v>0</v>
      </c>
    </row>
    <row r="11" spans="1:3" x14ac:dyDescent="0.25">
      <c r="A11" s="14" t="s">
        <v>72</v>
      </c>
      <c r="B11" s="6" t="s">
        <v>73</v>
      </c>
      <c r="C11" s="11">
        <f>AVERAGE('[2]Compliance Checklist'!E43:E44)</f>
        <v>0</v>
      </c>
    </row>
    <row r="12" spans="1:3" x14ac:dyDescent="0.25">
      <c r="A12" s="14" t="s">
        <v>76</v>
      </c>
      <c r="B12" s="6" t="s">
        <v>77</v>
      </c>
      <c r="C12" s="11">
        <f>AVERAGE('[2]Compliance Checklist'!E46:E51)</f>
        <v>0</v>
      </c>
    </row>
    <row r="13" spans="1:3" x14ac:dyDescent="0.25">
      <c r="A13" s="14" t="s">
        <v>84</v>
      </c>
      <c r="B13" s="6" t="s">
        <v>85</v>
      </c>
      <c r="C13" s="11">
        <f>AVERAGE('[2]Compliance Checklist'!E53)</f>
        <v>0</v>
      </c>
    </row>
    <row r="14" spans="1:3" x14ac:dyDescent="0.25">
      <c r="A14" s="14" t="s">
        <v>87</v>
      </c>
      <c r="B14" s="6" t="s">
        <v>88</v>
      </c>
      <c r="C14" s="11">
        <f>AVERAGE('[2]Compliance Checklist'!E55:E59)</f>
        <v>0</v>
      </c>
    </row>
    <row r="15" spans="1:3" x14ac:dyDescent="0.25">
      <c r="A15" s="14" t="s">
        <v>96</v>
      </c>
      <c r="B15" s="6" t="s">
        <v>97</v>
      </c>
      <c r="C15" s="11">
        <f>AVERAGE('[2]Compliance Checklist'!E62:E63)</f>
        <v>0</v>
      </c>
    </row>
    <row r="16" spans="1:3" x14ac:dyDescent="0.25">
      <c r="A16" s="14" t="s">
        <v>102</v>
      </c>
      <c r="B16" s="6" t="s">
        <v>103</v>
      </c>
      <c r="C16" s="11">
        <f>AVERAGE('[2]Compliance Checklist'!E66:E71)</f>
        <v>0</v>
      </c>
    </row>
    <row r="17" spans="1:3" x14ac:dyDescent="0.25">
      <c r="A17" s="14" t="s">
        <v>110</v>
      </c>
      <c r="B17" s="6" t="s">
        <v>111</v>
      </c>
      <c r="C17" s="11">
        <f>AVERAGE('[2]Compliance Checklist'!E73:E81)</f>
        <v>0</v>
      </c>
    </row>
    <row r="18" spans="1:3" x14ac:dyDescent="0.25">
      <c r="A18" s="14" t="s">
        <v>123</v>
      </c>
      <c r="B18" s="6" t="s">
        <v>124</v>
      </c>
      <c r="C18" s="11">
        <f>AVERAGE('[2]Compliance Checklist'!E84:E87)</f>
        <v>0</v>
      </c>
    </row>
    <row r="19" spans="1:3" x14ac:dyDescent="0.25">
      <c r="A19" s="14" t="s">
        <v>129</v>
      </c>
      <c r="B19" s="6" t="s">
        <v>130</v>
      </c>
      <c r="C19" s="11">
        <f>AVERAGE('[2]Compliance Checklist'!E89)</f>
        <v>0</v>
      </c>
    </row>
    <row r="20" spans="1:3" x14ac:dyDescent="0.25">
      <c r="A20" s="14" t="s">
        <v>132</v>
      </c>
      <c r="B20" s="6" t="s">
        <v>133</v>
      </c>
      <c r="C20" s="11">
        <f>AVERAGE('[2]Compliance Checklist'!E91)</f>
        <v>0</v>
      </c>
    </row>
    <row r="21" spans="1:3" x14ac:dyDescent="0.25">
      <c r="A21" s="14" t="s">
        <v>135</v>
      </c>
      <c r="B21" s="6" t="s">
        <v>136</v>
      </c>
      <c r="C21" s="11">
        <f>AVERAGE('[2]Compliance Checklist'!E93:E96)</f>
        <v>0</v>
      </c>
    </row>
    <row r="22" spans="1:3" x14ac:dyDescent="0.25">
      <c r="A22" s="14" t="s">
        <v>141</v>
      </c>
      <c r="B22" s="6" t="s">
        <v>142</v>
      </c>
      <c r="C22" s="11">
        <f>'[2]Compliance Checklist'!E98</f>
        <v>0</v>
      </c>
    </row>
    <row r="23" spans="1:3" x14ac:dyDescent="0.25">
      <c r="A23" s="14" t="s">
        <v>144</v>
      </c>
      <c r="B23" s="6" t="s">
        <v>145</v>
      </c>
      <c r="C23" s="11">
        <f>AVERAGE('[2]Compliance Checklist'!E100:E101)</f>
        <v>0</v>
      </c>
    </row>
    <row r="24" spans="1:3" x14ac:dyDescent="0.25">
      <c r="A24" s="14" t="s">
        <v>148</v>
      </c>
      <c r="B24" s="6" t="s">
        <v>149</v>
      </c>
      <c r="C24" s="11">
        <f>AVERAGE('[2]Compliance Checklist'!E103)</f>
        <v>0</v>
      </c>
    </row>
    <row r="25" spans="1:3" x14ac:dyDescent="0.25">
      <c r="A25" s="14" t="s">
        <v>153</v>
      </c>
      <c r="B25" s="6" t="s">
        <v>154</v>
      </c>
      <c r="C25" s="11">
        <f>AVERAGE('[2]Compliance Checklist'!E106:E108)</f>
        <v>0</v>
      </c>
    </row>
    <row r="26" spans="1:3" x14ac:dyDescent="0.25">
      <c r="A26" s="14" t="s">
        <v>159</v>
      </c>
      <c r="B26" s="6" t="s">
        <v>160</v>
      </c>
      <c r="C26" s="11">
        <f>AVERAGE('[2]Compliance Checklist'!E110:E113)</f>
        <v>0</v>
      </c>
    </row>
    <row r="27" spans="1:3" x14ac:dyDescent="0.25">
      <c r="A27" s="14" t="s">
        <v>167</v>
      </c>
      <c r="B27" s="6" t="s">
        <v>168</v>
      </c>
      <c r="C27" s="11">
        <f>AVERAGE('[2]Compliance Checklist'!E116:E118)</f>
        <v>0</v>
      </c>
    </row>
    <row r="28" spans="1:3" x14ac:dyDescent="0.25">
      <c r="A28" s="14" t="s">
        <v>181</v>
      </c>
      <c r="B28" s="6" t="s">
        <v>182</v>
      </c>
      <c r="C28" s="11">
        <f>AVERAGE('[2]Compliance Checklist'!E120:E128)</f>
        <v>0</v>
      </c>
    </row>
    <row r="29" spans="1:3" x14ac:dyDescent="0.25">
      <c r="A29" s="14" t="s">
        <v>183</v>
      </c>
      <c r="B29" s="6" t="s">
        <v>184</v>
      </c>
      <c r="C29" s="11">
        <f>AVERAGE('[2]Compliance Checklist'!E130)</f>
        <v>0</v>
      </c>
    </row>
    <row r="30" spans="1:3" x14ac:dyDescent="0.25">
      <c r="A30" s="14" t="s">
        <v>188</v>
      </c>
      <c r="B30" s="6" t="s">
        <v>189</v>
      </c>
      <c r="C30" s="11">
        <f>AVERAGE('[2]Compliance Checklist'!E133:E135)</f>
        <v>0</v>
      </c>
    </row>
    <row r="31" spans="1:3" x14ac:dyDescent="0.25">
      <c r="A31" s="14" t="s">
        <v>193</v>
      </c>
      <c r="B31" s="6" t="s">
        <v>194</v>
      </c>
      <c r="C31" s="11">
        <f>AVERAGE('[2]Compliance Checklist'!E137:E138)</f>
        <v>0</v>
      </c>
    </row>
    <row r="32" spans="1:3" x14ac:dyDescent="0.25">
      <c r="A32" s="14" t="s">
        <v>199</v>
      </c>
      <c r="B32" s="6" t="s">
        <v>338</v>
      </c>
      <c r="C32" s="11">
        <f>AVERAGE('[2]Compliance Checklist'!E141:E147)</f>
        <v>0</v>
      </c>
    </row>
    <row r="33" spans="1:3" x14ac:dyDescent="0.25">
      <c r="A33" s="14" t="s">
        <v>210</v>
      </c>
      <c r="B33" s="6" t="s">
        <v>211</v>
      </c>
      <c r="C33" s="11">
        <f>AVERAGE('[2]Compliance Checklist'!E150:E152)</f>
        <v>0</v>
      </c>
    </row>
    <row r="34" spans="1:3" x14ac:dyDescent="0.25">
      <c r="A34" s="14" t="s">
        <v>215</v>
      </c>
      <c r="B34" s="6" t="s">
        <v>217</v>
      </c>
      <c r="C34" s="11">
        <f>AVERAGE('[2]Compliance Checklist'!E154)</f>
        <v>0</v>
      </c>
    </row>
    <row r="35" spans="1:3" x14ac:dyDescent="0.25">
      <c r="A35" s="14" t="s">
        <v>220</v>
      </c>
      <c r="B35" s="6" t="s">
        <v>221</v>
      </c>
      <c r="C35" s="11">
        <f>AVERAGE('[2]Compliance Checklist'!E157:E161)</f>
        <v>0</v>
      </c>
    </row>
    <row r="36" spans="1:3" x14ac:dyDescent="0.25">
      <c r="A36" s="14" t="s">
        <v>227</v>
      </c>
      <c r="B36" s="6" t="s">
        <v>228</v>
      </c>
      <c r="C36" s="11">
        <f>AVERAGE('[2]Compliance Checklist'!E163:E165)</f>
        <v>0</v>
      </c>
    </row>
  </sheetData>
  <sheetProtection selectLockedCells="1" selectUnlockedCells="1"/>
  <conditionalFormatting sqref="C2:C36">
    <cfRule type="cellIs" dxfId="2" priority="1" stopIfTrue="1" operator="greaterThan">
      <formula>0.75</formula>
    </cfRule>
    <cfRule type="cellIs" dxfId="1" priority="2" stopIfTrue="1" operator="greaterThanOrEqual">
      <formula>0.25</formula>
    </cfRule>
    <cfRule type="cellIs" dxfId="0" priority="3" operator="lessThan">
      <formula>0.25</formula>
    </cfRule>
  </conditionalFormatting>
  <pageMargins left="0.47244094488188981" right="0.43307086614173229" top="1.28" bottom="0.94488188976377963" header="0.39370078740157483" footer="0.39370078740157483"/>
  <pageSetup paperSize="9" orientation="portrait" r:id="rId1"/>
  <headerFooter>
    <oddHeader>&amp;L&amp;10&amp;K04+000www.halkynconsulting.co.uk&amp;C&amp;"-,Bold"&amp;12ISO27001:2013 Compliance
Status Report&amp;R&amp;10&amp;K04+000info@halkynconsulting.co.uk</oddHeader>
    <oddFooter>&amp;L&amp;D&amp;CPage &amp;P of &amp;N&amp;RHalkyn Consulting Ltd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A22"/>
  <sheetViews>
    <sheetView workbookViewId="0">
      <selection activeCell="A2" sqref="A2"/>
    </sheetView>
  </sheetViews>
  <sheetFormatPr baseColWidth="10" defaultColWidth="9.140625" defaultRowHeight="15" x14ac:dyDescent="0.25"/>
  <sheetData>
    <row r="1" spans="1:1" x14ac:dyDescent="0.25">
      <c r="A1" t="s">
        <v>4</v>
      </c>
    </row>
    <row r="2" spans="1:1" x14ac:dyDescent="0.25">
      <c r="A2" s="13">
        <v>0</v>
      </c>
    </row>
    <row r="3" spans="1:1" x14ac:dyDescent="0.25">
      <c r="A3" s="13">
        <v>0.05</v>
      </c>
    </row>
    <row r="4" spans="1:1" x14ac:dyDescent="0.25">
      <c r="A4" s="13">
        <v>0.1</v>
      </c>
    </row>
    <row r="5" spans="1:1" x14ac:dyDescent="0.25">
      <c r="A5" s="13">
        <v>0.15</v>
      </c>
    </row>
    <row r="6" spans="1:1" x14ac:dyDescent="0.25">
      <c r="A6" s="13">
        <v>0.2</v>
      </c>
    </row>
    <row r="7" spans="1:1" x14ac:dyDescent="0.25">
      <c r="A7" s="13">
        <v>0.25</v>
      </c>
    </row>
    <row r="8" spans="1:1" x14ac:dyDescent="0.25">
      <c r="A8" s="13">
        <v>0.3</v>
      </c>
    </row>
    <row r="9" spans="1:1" x14ac:dyDescent="0.25">
      <c r="A9" s="13">
        <v>0.35</v>
      </c>
    </row>
    <row r="10" spans="1:1" x14ac:dyDescent="0.25">
      <c r="A10" s="13">
        <v>0.4</v>
      </c>
    </row>
    <row r="11" spans="1:1" x14ac:dyDescent="0.25">
      <c r="A11" s="13">
        <v>0.45</v>
      </c>
    </row>
    <row r="12" spans="1:1" x14ac:dyDescent="0.25">
      <c r="A12" s="13">
        <v>0.5</v>
      </c>
    </row>
    <row r="13" spans="1:1" x14ac:dyDescent="0.25">
      <c r="A13" s="13">
        <v>0.55000000000000004</v>
      </c>
    </row>
    <row r="14" spans="1:1" x14ac:dyDescent="0.25">
      <c r="A14" s="13">
        <v>0.6</v>
      </c>
    </row>
    <row r="15" spans="1:1" x14ac:dyDescent="0.25">
      <c r="A15" s="13">
        <v>0.65</v>
      </c>
    </row>
    <row r="16" spans="1:1" x14ac:dyDescent="0.25">
      <c r="A16" s="13">
        <v>0.7</v>
      </c>
    </row>
    <row r="17" spans="1:1" x14ac:dyDescent="0.25">
      <c r="A17" s="13">
        <v>0.75</v>
      </c>
    </row>
    <row r="18" spans="1:1" x14ac:dyDescent="0.25">
      <c r="A18" s="13">
        <v>0.8</v>
      </c>
    </row>
    <row r="19" spans="1:1" x14ac:dyDescent="0.25">
      <c r="A19" s="13">
        <v>0.85</v>
      </c>
    </row>
    <row r="20" spans="1:1" x14ac:dyDescent="0.25">
      <c r="A20" s="13">
        <v>0.9</v>
      </c>
    </row>
    <row r="21" spans="1:1" x14ac:dyDescent="0.25">
      <c r="A21" s="13">
        <v>0.95</v>
      </c>
    </row>
    <row r="22" spans="1:1" x14ac:dyDescent="0.25">
      <c r="A22" s="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Lista de verificación de cumpli</vt:lpstr>
      <vt:lpstr>Cumplimiento por sección</vt:lpstr>
      <vt:lpstr>Cumplimiento por control</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JHOAN SEBASTIAN SEGURA PAEZ</dc:creator>
  <cp:lastModifiedBy>JHOAN SEBASTIAN SEGURA PAEZ</cp:lastModifiedBy>
  <cp:lastPrinted>2013-10-18T21:02:08Z</cp:lastPrinted>
  <dcterms:created xsi:type="dcterms:W3CDTF">2013-10-04T22:43:31Z</dcterms:created>
  <dcterms:modified xsi:type="dcterms:W3CDTF">2022-02-23T22:54:01Z</dcterms:modified>
</cp:coreProperties>
</file>