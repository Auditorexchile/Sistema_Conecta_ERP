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CasandraAldana\Downloads\"/>
    </mc:Choice>
  </mc:AlternateContent>
  <xr:revisionPtr revIDLastSave="0" documentId="8_{D77DBA95-B1A9-4664-906C-82E307DB8ECA}" xr6:coauthVersionLast="47" xr6:coauthVersionMax="47" xr10:uidLastSave="{00000000-0000-0000-0000-000000000000}"/>
  <bookViews>
    <workbookView xWindow="-23148" yWindow="1080" windowWidth="23256" windowHeight="12720" xr2:uid="{00000000-000D-0000-FFFF-FFFF00000000}"/>
  </bookViews>
  <sheets>
    <sheet name="INTRODUCCIÓN" sheetId="3" r:id="rId1"/>
    <sheet name="CUESTIONARIO" sheetId="1" r:id="rId2"/>
    <sheet name="INTERPRETACIÓN DEL DIAGNÓSTICO" sheetId="4" r:id="rId3"/>
    <sheet name="CRITERIOS DE CALIFICACIÓN" sheetId="2" state="hidden" r:id="rId4"/>
  </sheets>
  <definedNames>
    <definedName name="_xlnm.Print_Area" localSheetId="1">CUESTIONARIO!$A$2:$D$115</definedName>
    <definedName name="Fullskala">'CRITERIOS DE CALIFICACIÓN'!$B$2:$B$7</definedName>
    <definedName name="OLE_LINK1" localSheetId="1">CUESTIONARIO!#REF!</definedName>
    <definedName name="OLE_LINK3" localSheetId="1">CUESTIONARIO!$A$59</definedName>
    <definedName name="OLE_LINK5" localSheetId="1">CUESTIONARIO!#REF!</definedName>
    <definedName name="Score_ISBR1">CUESTIONARIO!$E$2</definedName>
    <definedName name="Score_ISBR10">CUESTIONARIO!$E$68</definedName>
    <definedName name="Score_ISBR11">CUESTIONARIO!$E$78</definedName>
    <definedName name="Score_ISBR12">CUESTIONARIO!$E$84</definedName>
    <definedName name="Score_ISBR13">CUESTIONARIO!$E$89</definedName>
    <definedName name="Score_ISBR14">CUESTIONARIO!$E$97</definedName>
    <definedName name="Score_ISBR15">CUESTIONARIO!$E$102</definedName>
    <definedName name="Score_ISBR16">CUESTIONARIO!$E$116</definedName>
    <definedName name="Score_ISBR17">CUESTIONARIO!$E$127</definedName>
    <definedName name="Score_ISBR18">CUESTIONARIO!$E$131</definedName>
    <definedName name="Score_ISBR19">CUESTIONARIO!$E$143</definedName>
    <definedName name="Score_ISBR2">CUESTIONARIO!$E$12</definedName>
    <definedName name="Score_ISBR3">CUESTIONARIO!$E$22</definedName>
    <definedName name="Score_ISBR4">CUESTIONARIO!$E$28</definedName>
    <definedName name="Score_ISBR5">CUESTIONARIO!$E$37</definedName>
    <definedName name="Score_ISBR6">CUESTIONARIO!$E$44</definedName>
    <definedName name="Score_ISBR7">CUESTIONARIO!$E$51</definedName>
    <definedName name="Score_ISBR8">CUESTIONARIO!$E$59</definedName>
    <definedName name="Score_ISBR9">CUESTIONARIO!$E$64</definedName>
    <definedName name="SÍ">CUESTIONARIO!$C$3</definedName>
    <definedName name="Title_ISBR1">CUESTIONARIO!$A$2</definedName>
    <definedName name="Title_ISBR10">CUESTIONARIO!$A$68</definedName>
    <definedName name="Title_ISBR11">CUESTIONARIO!$A$78</definedName>
    <definedName name="Title_ISBR12">CUESTIONARIO!$A$84</definedName>
    <definedName name="Title_ISBR13">CUESTIONARIO!$A$89</definedName>
    <definedName name="Title_ISBR14">CUESTIONARIO!$A$97</definedName>
    <definedName name="Title_ISBR15">CUESTIONARIO!$A$102</definedName>
    <definedName name="Title_ISBR16">CUESTIONARIO!$A$116</definedName>
    <definedName name="Title_ISBR17">CUESTIONARIO!$A$127</definedName>
    <definedName name="Title_ISBR18">CUESTIONARIO!$A$131</definedName>
    <definedName name="Title_ISBR19">CUESTIONARIO!$A$143</definedName>
    <definedName name="Title_ISBR2">CUESTIONARIO!$A$12</definedName>
    <definedName name="Title_ISBR3">CUESTIONARIO!$A$22</definedName>
    <definedName name="Title_ISBR4">CUESTIONARIO!$A$28</definedName>
    <definedName name="Title_ISBR5">CUESTIONARIO!$A$37</definedName>
    <definedName name="Title_ISBR6">CUESTIONARIO!$A$44</definedName>
    <definedName name="Title_ISBR7">CUESTIONARIO!$A$51</definedName>
    <definedName name="Title_ISBR8">CUESTIONARIO!$A$59</definedName>
    <definedName name="Title_ISBR9">CUESTIONARIO!$A$64</definedName>
    <definedName name="yesno">'CRITERIOS DE CALIFICACIÓN'!$B$10:$B$11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4" l="1"/>
  <c r="A60" i="4"/>
  <c r="E150" i="1"/>
  <c r="E149" i="1"/>
  <c r="E148" i="1"/>
  <c r="E147" i="1"/>
  <c r="E146" i="1"/>
  <c r="E145" i="1"/>
  <c r="E144" i="1"/>
  <c r="E142" i="1"/>
  <c r="E141" i="1"/>
  <c r="E140" i="1"/>
  <c r="E139" i="1"/>
  <c r="E138" i="1"/>
  <c r="E137" i="1"/>
  <c r="E136" i="1"/>
  <c r="E135" i="1"/>
  <c r="E134" i="1"/>
  <c r="E133" i="1"/>
  <c r="E132" i="1"/>
  <c r="E130" i="1"/>
  <c r="E129" i="1"/>
  <c r="E128" i="1"/>
  <c r="E126" i="1"/>
  <c r="E125" i="1"/>
  <c r="E124" i="1"/>
  <c r="E123" i="1"/>
  <c r="E122" i="1"/>
  <c r="E121" i="1"/>
  <c r="E120" i="1"/>
  <c r="E119" i="1"/>
  <c r="E118" i="1"/>
  <c r="E117" i="1"/>
  <c r="E115" i="1"/>
  <c r="E114" i="1"/>
  <c r="E113" i="1"/>
  <c r="E112" i="1"/>
  <c r="E111" i="1"/>
  <c r="E110" i="1"/>
  <c r="E109" i="1"/>
  <c r="E108" i="1"/>
  <c r="E107" i="1"/>
  <c r="E106" i="1"/>
  <c r="E105" i="1"/>
  <c r="E104" i="1"/>
  <c r="E103" i="1"/>
  <c r="E101" i="1"/>
  <c r="E100" i="1"/>
  <c r="E99" i="1"/>
  <c r="E98" i="1"/>
  <c r="E96" i="1"/>
  <c r="E95" i="1"/>
  <c r="E94" i="1"/>
  <c r="E93" i="1"/>
  <c r="E92" i="1"/>
  <c r="E91" i="1"/>
  <c r="E90" i="1"/>
  <c r="E88" i="1"/>
  <c r="E87" i="1"/>
  <c r="E86" i="1"/>
  <c r="E85" i="1"/>
  <c r="E83" i="1"/>
  <c r="E82" i="1"/>
  <c r="E81" i="1"/>
  <c r="E80" i="1"/>
  <c r="E79" i="1"/>
  <c r="E77" i="1"/>
  <c r="E76" i="1"/>
  <c r="E75" i="1"/>
  <c r="E74" i="1"/>
  <c r="E73" i="1"/>
  <c r="E72" i="1"/>
  <c r="E71" i="1"/>
  <c r="E70" i="1"/>
  <c r="E69" i="1"/>
  <c r="E67" i="1"/>
  <c r="E66" i="1"/>
  <c r="E65" i="1"/>
  <c r="E63" i="1"/>
  <c r="E62" i="1"/>
  <c r="E61" i="1"/>
  <c r="E60" i="1"/>
  <c r="E58" i="1"/>
  <c r="E57" i="1"/>
  <c r="E56" i="1"/>
  <c r="E55" i="1"/>
  <c r="E54" i="1"/>
  <c r="E53" i="1"/>
  <c r="E52" i="1"/>
  <c r="E50" i="1"/>
  <c r="E49" i="1"/>
  <c r="E48" i="1"/>
  <c r="E47" i="1"/>
  <c r="E46" i="1"/>
  <c r="E45" i="1"/>
  <c r="E43" i="1"/>
  <c r="E42" i="1"/>
  <c r="E41" i="1"/>
  <c r="E40" i="1"/>
  <c r="E39" i="1"/>
  <c r="E38" i="1"/>
  <c r="E36" i="1"/>
  <c r="E35" i="1"/>
  <c r="E34" i="1"/>
  <c r="E33" i="1"/>
  <c r="E32" i="1"/>
  <c r="E31" i="1"/>
  <c r="E30" i="1"/>
  <c r="E29" i="1"/>
  <c r="E27" i="1"/>
  <c r="E26" i="1"/>
  <c r="E25" i="1"/>
  <c r="E24" i="1"/>
  <c r="E23" i="1"/>
  <c r="E22" i="1" s="1"/>
  <c r="D15" i="4" s="1"/>
  <c r="E21" i="1"/>
  <c r="E20" i="1"/>
  <c r="E19" i="1"/>
  <c r="E18" i="1"/>
  <c r="E17" i="1"/>
  <c r="E16" i="1"/>
  <c r="E15" i="1"/>
  <c r="E14" i="1"/>
  <c r="E13" i="1"/>
  <c r="E12" i="1" s="1"/>
  <c r="D10" i="4" s="1"/>
  <c r="E11" i="1"/>
  <c r="E10" i="1"/>
  <c r="E9" i="1"/>
  <c r="E8" i="1"/>
  <c r="E7" i="1"/>
  <c r="E6" i="1"/>
  <c r="E5" i="1"/>
  <c r="E4" i="1"/>
  <c r="E3" i="1"/>
  <c r="A95" i="4"/>
  <c r="A90" i="4"/>
  <c r="A85" i="4"/>
  <c r="A80" i="4"/>
  <c r="A75" i="4"/>
  <c r="A70" i="4"/>
  <c r="A65" i="4"/>
  <c r="A55" i="4"/>
  <c r="A45" i="4"/>
  <c r="A40" i="4"/>
  <c r="A35" i="4"/>
  <c r="A30" i="4"/>
  <c r="A25" i="4"/>
  <c r="A20" i="4"/>
  <c r="A15" i="4"/>
  <c r="A10" i="4"/>
  <c r="A5" i="4"/>
  <c r="E2" i="1" l="1"/>
  <c r="D5" i="4" s="1"/>
  <c r="E64" i="1"/>
  <c r="D45" i="4" s="1"/>
  <c r="E143" i="1"/>
  <c r="D95" i="4" s="1"/>
  <c r="E127" i="1"/>
  <c r="D85" i="4" s="1"/>
  <c r="E37" i="1"/>
  <c r="D25" i="4" s="1"/>
  <c r="E78" i="1"/>
  <c r="D55" i="4" s="1"/>
  <c r="E102" i="1"/>
  <c r="D75" i="4" s="1"/>
  <c r="E51" i="1"/>
  <c r="D35" i="4" s="1"/>
  <c r="E84" i="1"/>
  <c r="D60" i="4" s="1"/>
  <c r="E28" i="1"/>
  <c r="D20" i="4" s="1"/>
  <c r="E59" i="1"/>
  <c r="D40" i="4" s="1"/>
  <c r="E97" i="1"/>
  <c r="D70" i="4" s="1"/>
  <c r="E44" i="1"/>
  <c r="D30" i="4" s="1"/>
  <c r="E89" i="1"/>
  <c r="D65" i="4" s="1"/>
  <c r="E116" i="1"/>
  <c r="D80" i="4" s="1"/>
  <c r="E131" i="1"/>
  <c r="D90" i="4" s="1"/>
  <c r="E68" i="1" l="1"/>
  <c r="D50" i="4" s="1"/>
</calcChain>
</file>

<file path=xl/sharedStrings.xml><?xml version="1.0" encoding="utf-8"?>
<sst xmlns="http://schemas.openxmlformats.org/spreadsheetml/2006/main" count="466" uniqueCount="389">
  <si>
    <t>Una evaluación técnica de 19 aspectos clave</t>
  </si>
  <si>
    <t>Esta es una herramienta de autoevaluación para verificar el grado de cumplimiento de una empresa con los requisitos básicos de seguridad de la información.
La herramienta está destinada a ayudar a las empresas a evaluar el nivel de seguridad de sus sistemas informáticos y de control de procesos, seguridad y soporte.
No está destinada a ser utilizada para realizar informes a terceros como criterio de cumplimiento, este auto diagnóstico está diseñado únicamente para uso interno.
La utilización de esta herramienta depende totalmente de la empresa y siempre considerando que es para los usos legales que a ella convengan sin involucrar legalmente, administrativamente, asociativamente o de cualquier otra índole a Innevo ya que la única intención es que sirva como punto de inicio a cualquier organización que desea conocer de forma general el grado de exposición que tiene en su sistema de gestión de seguridad de la información.</t>
  </si>
  <si>
    <r>
      <t>Obtén más recursos y conoce nuestros servicios en</t>
    </r>
    <r>
      <rPr>
        <b/>
        <sz val="18"/>
        <color theme="0"/>
        <rFont val="Arial"/>
        <family val="2"/>
      </rPr>
      <t xml:space="preserve"> innevo.com</t>
    </r>
  </si>
  <si>
    <t>#</t>
  </si>
  <si>
    <t>Concepto</t>
  </si>
  <si>
    <t>Calificación</t>
  </si>
  <si>
    <t>Notas o comentarios</t>
  </si>
  <si>
    <t>Puntaje
obtenido</t>
  </si>
  <si>
    <t>1.- Política de seguridad de la información.</t>
  </si>
  <si>
    <t>1-1</t>
  </si>
  <si>
    <t>¿Tiene la empresa un documento de política de seguridad de la información desarrollado específicamente para ella?</t>
  </si>
  <si>
    <t>1-2</t>
  </si>
  <si>
    <t>Si la respuesta a la pregunta anterior fue NO, conteste:  ¿Tiene la empresa  políticas de seguridad de la información no documentadas pero incorporadas en sus procesos?</t>
  </si>
  <si>
    <t>1-3</t>
  </si>
  <si>
    <t>Si la respuesta a la pregunta 1-1 fue SÍ, responda ¿La política de seguridad de la información ha sido firmada por la alta dirección?.</t>
  </si>
  <si>
    <t>1-4</t>
  </si>
  <si>
    <t>¿No ha pasada más de un año desde que se redactó o revisó la política de seguridad de la información?</t>
  </si>
  <si>
    <t>1-5</t>
  </si>
  <si>
    <t>¿En qué medida se aplica la política de seguridad de la información en todos los entornos de producción de la empresa?</t>
  </si>
  <si>
    <t>1-6</t>
  </si>
  <si>
    <t>¿En qué medida la alta dirección es activa en la promoción y aplicación de la política de seguridad de la información?</t>
  </si>
  <si>
    <t>1-7</t>
  </si>
  <si>
    <t>¿En qué medida tu personal y proveedores están informados y familiarizados con la política de seguridad de la información?</t>
  </si>
  <si>
    <t>1-8</t>
  </si>
  <si>
    <t>¿En qué medida todo el personal y proveedores cumplen con la política de seguridad de la información?</t>
  </si>
  <si>
    <t>1-9</t>
  </si>
  <si>
    <t>¿En qué medida la política de seguridad de la información cubre las necesidades de seguridad de información de tus clientes y reglamentos que le apliquen?</t>
  </si>
  <si>
    <t xml:space="preserve"> 2. - Proceso de gestión de riesgos de seguridad de la información para los sistemas y redes.				</t>
  </si>
  <si>
    <t>2-1</t>
  </si>
  <si>
    <t>¿Tiene la empresa requisitos documentados para realizar evaluaciones de riesgos periódicas de todos los sistemas informáticos críticos?</t>
  </si>
  <si>
    <t>2-2</t>
  </si>
  <si>
    <t>¿Tiene la empresa un marco o metodología documentada para la evaluación de riesgos que se pueda utilizar para la seguridad de la información?</t>
  </si>
  <si>
    <t>2-3</t>
  </si>
  <si>
    <t>¿En qué medida se han realizado evaluaciones de riesgos para la seguridad de la información para todos los sistemas críticos durante el año pasado?</t>
  </si>
  <si>
    <t>2-4</t>
  </si>
  <si>
    <t>¿En qué medida ha aprobado la dirección general el riesgo residual una vez mitigados los riesgos pre-existentes y el plan de implementación de las medidas y controles de seguridad propuestos?</t>
  </si>
  <si>
    <t>2-5</t>
  </si>
  <si>
    <t>¿En qué medida se enfrentan inmediatamente los nuevos riesgos graves de seguridad de la información?</t>
  </si>
  <si>
    <t>2-6</t>
  </si>
  <si>
    <t>¿En qué medida se dispone de documentación, estructura y presentación de informes sobre los riesgos identificados?</t>
  </si>
  <si>
    <t>2-7</t>
  </si>
  <si>
    <t>¿En qué medida se registran todos los nuevos riesgos de seguridad de la información?</t>
  </si>
  <si>
    <t>2-8</t>
  </si>
  <si>
    <t>¿En qué medida se hace un seguimiento de todos los riesgos registrados y se responde en un plazo razonable?</t>
  </si>
  <si>
    <t>2-9</t>
  </si>
  <si>
    <t>¿Existe un plan de mitigación de riesgos con actividades de mitigación estructuradas en actividades proactivas y reactivas, basadas en medidas preventivas, de detección o correctivas para garantizar la reducción de riesgos que involucren tanto la probabilidad como el impacto de incidentes y violaciones de seguridad?</t>
  </si>
  <si>
    <t xml:space="preserve"> 3. - Los sistemas informáticos y de resguardo de información no digital deben tener propietarios designados y de los datos correspondientes.</t>
  </si>
  <si>
    <t>3-1</t>
  </si>
  <si>
    <t>¿Existen requisitos internos para designar propietarios de sistemas y/o información para sistemas críticos?</t>
  </si>
  <si>
    <t>3-2</t>
  </si>
  <si>
    <t>¿En qué medida se designan realmente propietarios de sistemas/información para todos los sistemas críticos ?</t>
  </si>
  <si>
    <t>3-3</t>
  </si>
  <si>
    <t>¿Tiene la empresa una visión general completa, actualizada y documentada (lista o base de datos) del personal designado como propietario del sistema/información?</t>
  </si>
  <si>
    <t>3-4</t>
  </si>
  <si>
    <t>¿Tiene la empresa documentación que describa la autoridad y las responsabilidades del rol del propietario del sistema/información?</t>
  </si>
  <si>
    <t>3-5</t>
  </si>
  <si>
    <t>¿Se ha establecido la división de las funciones y responsabilidades de seguridad entre los propietarios de sistemas/información y las partes interesadas de terceros (por ejemplo, proveedores, clientes y socios) para cada sistema, equipo de dómputo o componente de infraestructura de TI?</t>
  </si>
  <si>
    <t xml:space="preserve"> 4. - La infraestructura informática debe tener redes segmentadas y todas las rutas de comunicación deben ser controladas y auditadas.</t>
  </si>
  <si>
    <t>4-1</t>
  </si>
  <si>
    <t>¿Tiene la empresa requisitos documentados para segmentar las redes de dominio de las del dominio de oficina?</t>
  </si>
  <si>
    <t>4-2</t>
  </si>
  <si>
    <t>¿En qué medida las redes de dominio de están realmente segmentadas de las del dominio de la oficina (por ejemplo, mediante la instalación de firewalls estrechamente configurados entre ellas)?</t>
  </si>
  <si>
    <t>4-3</t>
  </si>
  <si>
    <t>¿En qué medida las redes del dominio de las TIC del PCSS están segmentadas entre sí (es decir, los sistemas que no tienen una necesidad funcional u operativa de estar en la misma red están segmentados entre sí)?</t>
  </si>
  <si>
    <t>4-4</t>
  </si>
  <si>
    <t>¿En qué medida la comunicación de datos entre los diferentes segmentos de red en el dominio está controlada por interfaces (por ejemplo, firewalls, enrutadores de filtrado)?</t>
  </si>
  <si>
    <t>4-5</t>
  </si>
  <si>
    <t>¿Hasta qué punto toda la comunicación de datos externos entre las redes y los proveedores pasa a través de interfaces controladas (por ejemplo, firewalls, servidores de terminales)?</t>
  </si>
  <si>
    <t>4-6</t>
  </si>
  <si>
    <t>¿Se revisan regularmente las reglas de firewall para garantizar que solo se configuren las reglas necesarias?</t>
  </si>
  <si>
    <t>4-7</t>
  </si>
  <si>
    <t>¿Se registran y supervisan los cortafuegos?</t>
  </si>
  <si>
    <t>4-8</t>
  </si>
  <si>
    <t>¿En qué medida la solución de gestión de cortafuegos está protegida contra el acceso no autorizado (es decir, mediante la autenticación de dos factores)?</t>
  </si>
  <si>
    <t xml:space="preserve"> 5. - Los usuarios de los sistemas deben recibir capacitación en la conciencia de la seguridad de la información y el uso seguro de los sistemas de TI de acuerdo con las políticas y procesos establecidos.</t>
  </si>
  <si>
    <t>5-1</t>
  </si>
  <si>
    <t>¿En qué medida se han establecido requisitos documentados para proporcionar capacitación actualizada en seguridad de la información para todo el personal?</t>
  </si>
  <si>
    <t>5-2</t>
  </si>
  <si>
    <t>¿En qué medida se está capacitando en seguridad de la información al personal recién contratado?</t>
  </si>
  <si>
    <t>5-3</t>
  </si>
  <si>
    <t>¿En qué medida también está disponible para los proveedores una capacitación actualizada sobre seguridad de la información?</t>
  </si>
  <si>
    <t>5-4</t>
  </si>
  <si>
    <t>¿En qué medida se repite la capacitación en seguridad de la información para garantizar que el personal y proveedores estén actualizados sobre los desarrollos con el delito cibernético?</t>
  </si>
  <si>
    <t>5-5</t>
  </si>
  <si>
    <t>¿En qué medida se ha completado y documentado la capacitación en seguridad de la información antes de que se otorgue acceso al entorno de producción?</t>
  </si>
  <si>
    <t>5-6</t>
  </si>
  <si>
    <t>¿Hasta qué punto la alta dirección se centra en crear conciencia sobre la seguridad de la información?</t>
  </si>
  <si>
    <t xml:space="preserve"> 6. - Los sistemas informáticos sólo se utilizarán para los fines designados.</t>
  </si>
  <si>
    <t>6-1</t>
  </si>
  <si>
    <t>¿En qué medida se auditan los sistemas críticos para garantizar que solo se instale software autorizado y dedicado?</t>
  </si>
  <si>
    <t>6-2</t>
  </si>
  <si>
    <t>¿Se eliminan las solicitudes no autorizadas de manera segura, documentada y aprobada?</t>
  </si>
  <si>
    <t>6-3</t>
  </si>
  <si>
    <t>¿Se eliminan las aplicaciones obsoletas de manera segura, que está documentada y aprobada?</t>
  </si>
  <si>
    <t>6-4</t>
  </si>
  <si>
    <t>¿En qué medida se ha documentado el uso aceptable de cada uno de los sistemas críticos?</t>
  </si>
  <si>
    <t>6-5</t>
  </si>
  <si>
    <t>¿En qué medida se configuran y refuerzan los sistemas críticos para que sólo se utilicen para su propósito designado originalmente?</t>
  </si>
  <si>
    <t>6-6</t>
  </si>
  <si>
    <t>¿En qué medida se configuran y utilizan también equipos móviles (como ordenadores portátiles, móviles, etc.) para comunicarse con los sistemas de tal manera que no puedan utilizarse para otros fines?</t>
  </si>
  <si>
    <t xml:space="preserve"> 7. - Preparación para la recuperación ante desastres.</t>
  </si>
  <si>
    <t>7-1</t>
  </si>
  <si>
    <t>¿Tiene la empresa un proceso gestionado para desarrollar planes de recuperación ante desastres para todos los sistemas críticos?</t>
  </si>
  <si>
    <t>7-2</t>
  </si>
  <si>
    <t>¿Hasta qué punto la empresa tiene planes documentados de recuperación ante desastres para cada sistema crítico?</t>
  </si>
  <si>
    <t>7-3</t>
  </si>
  <si>
    <t>¿Tiene la empresa un proceso administrado para mantener y actualizar los planes de recuperación ante desastres de seguridad?</t>
  </si>
  <si>
    <t>7-4</t>
  </si>
  <si>
    <t>¿En qué medida se han probado y entrenado planes de recuperación ante desastres de seguridad para todos los sistemas críticos en los últimos dos años?</t>
  </si>
  <si>
    <t>7-5</t>
  </si>
  <si>
    <t>¿En qué medida los planes de recuperación de desastres de seguridad están disponibles para el personal pertinente en caso de desastre?</t>
  </si>
  <si>
    <t>7-6</t>
  </si>
  <si>
    <t>¿En qué medida los planes de recuperación ante desastres están alineados con los planes de continuidad del negocio?</t>
  </si>
  <si>
    <t>7-7</t>
  </si>
  <si>
    <t>¿En qué medida los planes de recuperación ante desastres identifican el proceso y los requisitos para declarar un desastre?</t>
  </si>
  <si>
    <t>8.- Los requisitos de seguridad de la información se integrarán en los procesos de ingeniería, adquisición y despliegue.</t>
  </si>
  <si>
    <t>8-1</t>
  </si>
  <si>
    <t>¿En qué medida la empresa especifica actualmente los requisitos de seguridad de la información en todas las partes del proceso de ingeniería, adquisición y puesta en marcha de los sistemas de TI?</t>
  </si>
  <si>
    <t>8-2</t>
  </si>
  <si>
    <t>¿Los contratos, licitaciones y otros acuerdos de la empresa relacionados con los sistemas de IC describen los requisitos relevantes de seguridad de la información?</t>
  </si>
  <si>
    <t>8-3</t>
  </si>
  <si>
    <t>¿En qué medida los proveedores documentan los controles y medidas de seguridad de la información aplicados en los nuevos sistemas de TIC?</t>
  </si>
  <si>
    <t>8-4</t>
  </si>
  <si>
    <t>¿En qué medida la empresa prueba los controles y medidas de seguridad de la información que se han implementado antes de que se pongan en funcionamiento nuevos sistemas o actualizaciones de estos?</t>
  </si>
  <si>
    <t xml:space="preserve"> 9. - Los sistemas críticos deben tener niveles de servicio y soporte definidos y documentados.</t>
  </si>
  <si>
    <t>9-1</t>
  </si>
  <si>
    <t>¿Tiene la empresa requisitos documentados para especificar el nivel necesario de servicio y soporte de por vida para los sistemas informáticos?</t>
  </si>
  <si>
    <t>9-2</t>
  </si>
  <si>
    <t>¿Hasta qué punto se documentan las soluciones para los ciclos de vida de servicio y soporte?</t>
  </si>
  <si>
    <t>9-3</t>
  </si>
  <si>
    <t>¿Hasta qué punto se mantiene y actualiza este documento (el mencionado en el punto anterior)?</t>
  </si>
  <si>
    <t xml:space="preserve"> 10. - Se deberán cumplir los procedimientos de gestión de cambios y permisos de trabajo para todo mantenimiento y cambios en los sistemas y redes.</t>
  </si>
  <si>
    <t>10-1</t>
  </si>
  <si>
    <t>¿En qué medida se han documentado los procedimientos para cambiar o mejorar la infraestructura, los programas informáticos y las aplicaciones en los sistemas informáticos?</t>
  </si>
  <si>
    <t>10-2</t>
  </si>
  <si>
    <t>¿En qué medida se cumplen estos procedimientos?</t>
  </si>
  <si>
    <t>10-3</t>
  </si>
  <si>
    <t>¿En qué medida se han documentado los procedimientos para la reparación y sustitución de equipos informáticos defectuosos o que funcionan mal?</t>
  </si>
  <si>
    <t>10-4</t>
  </si>
  <si>
    <t>10-5</t>
  </si>
  <si>
    <t>¿Tiene la empresa requisitos de configuración documentados para equipos de prueba de proveedores y terceros cuando estos están conectados temporalmente a la red?</t>
  </si>
  <si>
    <t>10-6</t>
  </si>
  <si>
    <t>10-7</t>
  </si>
  <si>
    <t>¿Requiere la empresa que los equipos informáticos de proveedores y terceros se actualicen con los últimos parches de seguridad, que utilicen versiones actualizadas de programas de seguridad, como un programa antivirus y un firewall personal, y que se escaneen en busca de malware antes de conectarse a su red?</t>
  </si>
  <si>
    <t>10-8</t>
  </si>
  <si>
    <t>¿Tiene la empresa procedimientos documentados sobre la forma en que los proveedores y terceros deben conectar sus equipos informáticos a sus redes o sistemas?</t>
  </si>
  <si>
    <t>10-9</t>
  </si>
  <si>
    <t xml:space="preserve"> 11. - Deberá estar disponible un diagrama de la topología de red actualizado, que incluya todos los componentes del sistema e interfaces con otros sistemas.</t>
  </si>
  <si>
    <t>11-1</t>
  </si>
  <si>
    <t>¿Tiene la empresa requisitos internos para documentar y mantener mapas de red que incluyan todos los componentes críticos?</t>
  </si>
  <si>
    <t>11-2</t>
  </si>
  <si>
    <t>¿En qué medida se han documentado todas las redes y componentes críticos de TI (por ejemplo, direcciones IP y MAC, configuraciones de hardware y ubicación física)?</t>
  </si>
  <si>
    <t>11-3</t>
  </si>
  <si>
    <t>¿En qué medida se mantiene y actualiza esta documentación?</t>
  </si>
  <si>
    <t>11-4</t>
  </si>
  <si>
    <t>¿En qué medida se han documentado las interfaces entre las aplicaciones críticas?</t>
  </si>
  <si>
    <t>11-5</t>
  </si>
  <si>
    <t>¿En qué medida la empresa dispone de documentación actualizada sobre las configuraciones de todos los sistemas críticos de TI?</t>
  </si>
  <si>
    <t xml:space="preserve"> 12. - Los sistemas informáticos se deben actualizar con parches de seguridad.</t>
  </si>
  <si>
    <t>12-1</t>
  </si>
  <si>
    <t>¿Tiene la empresa requisitos documentados para actualizar el software instalado en los sistemas de TI críticos cuando se lanzan nuevos parches de seguridad?</t>
  </si>
  <si>
    <t>12-2</t>
  </si>
  <si>
    <t>¿En qué medida los sistemas que no se pueden actualizar con parches de seguridad están segmentados o protegidos por otras medidas?</t>
  </si>
  <si>
    <t>12-3</t>
  </si>
  <si>
    <t>¿En qué medida se actualizan los sistemas de TI con los últimos parches de seguridad lanzados por el desarrollador de software?</t>
  </si>
  <si>
    <t>12-4</t>
  </si>
  <si>
    <t>¿En qué medida la gestión de parches de seguridad está de acuerdo con los procesos de trabajo para la gestión del cambio?</t>
  </si>
  <si>
    <t xml:space="preserve"> 13. - Los sistemas de TI deben tener medidas adecuadas y actualizadas para proteger, detectar y recuperarse de software malicioso.</t>
  </si>
  <si>
    <t>13-1</t>
  </si>
  <si>
    <t>¿Tiene la empresa requisitos internos para proteger los sistemas de TI contra códigos maliciosos como virus, troyanos y gusanos, así como contra actividades como el uso no autorizado y los robos informáticos?</t>
  </si>
  <si>
    <t>13-2</t>
  </si>
  <si>
    <t>¿En qué medida se monitoriza la red de TI en sus distintos niveles para detectar posibles eventos de ciberseguridad?</t>
  </si>
  <si>
    <t>13-3</t>
  </si>
  <si>
    <t>¿En qué medida existe un software antivirus en todos los sistemas de TI críticos de la red?</t>
  </si>
  <si>
    <t>13-4</t>
  </si>
  <si>
    <t>¿Está la red segmentada para limitar la propagación de malware entre computadoras?</t>
  </si>
  <si>
    <t>13-5</t>
  </si>
  <si>
    <t>¿En qué medida se instalan nuevas versiones de software antivirus y de firewall dentro de un tiempo razonable después de su lanzamiento?</t>
  </si>
  <si>
    <t>13-6</t>
  </si>
  <si>
    <t>¿En qué medida los sistemas en tiempo real que no pueden tener instalado software antivirus y firewall se analizan manualmente durante los períodos de mantenimiento para verificar que no han sido infectados?</t>
  </si>
  <si>
    <t>13-7</t>
  </si>
  <si>
    <t>¿Hasta qué punto se implementa una solución de detección de malware de "próxima generación" para detectar ataques de código malicioso basados en el reconocimiento de patrones, listas blancas activas, etc.?</t>
  </si>
  <si>
    <t xml:space="preserve"> 14. - Debe existir una gestión estricta del control de acceso para garantizar que solo los usuarios y sistemas autorizados puedan acceder a la información y la funcionalidad de los sistemas de TI.</t>
  </si>
  <si>
    <t>14-1</t>
  </si>
  <si>
    <t>¿Tiene la empresa directrices que definan qué derechos de acceso deben concederse a los sistemas y usuarios de TI para que puedan desempeñar su trabajo y función?</t>
  </si>
  <si>
    <t>14-2</t>
  </si>
  <si>
    <t>¿Tiene la empresa directrices documentadas que exijan que se nieguen todos los derechos de acceso a la información y la funcionalidad en los sistemas de TI a menos que se otorguen explícitamente?</t>
  </si>
  <si>
    <t>14-3</t>
  </si>
  <si>
    <t>Si respondió SÍ a la pregunta anterior, conteste: ¿En qué medida está configurado cada sistema de TI para cumplir con este requisito?</t>
  </si>
  <si>
    <t>14-4</t>
  </si>
  <si>
    <t>¿En qué medida se impide o controla minuciosamente a los usuarios que han iniciado sesión en los dominios de la oficina de la empresa al acceder a las redes de producción?</t>
  </si>
  <si>
    <t xml:space="preserve"> 15. - Los procedimientos operativos y de mantenimiento necesarios deben documentarse y mantenerse actualizados.</t>
  </si>
  <si>
    <t>15-1</t>
  </si>
  <si>
    <t>¿Existen procesos para gestionar todos los sistemas de TI en todas las fases, desde el desarrollo/implementación, pasando por las operaciones, hasta la desactivación/sustitución (régimen del ciclo de vida del desarrollo de sistemas)?</t>
  </si>
  <si>
    <t>15-2</t>
  </si>
  <si>
    <t>¿Existen requisitos escritos para documentar las rutinas operativas de todos los sistemas de TI críticos?</t>
  </si>
  <si>
    <t>15-3</t>
  </si>
  <si>
    <t>¿En qué medida se cumple el requisito definido en la pregunta 15-2 en todos los sistemas nuevos de TI?</t>
  </si>
  <si>
    <t>15-4</t>
  </si>
  <si>
    <t>¿En qué medida se cumple el requisito definido en la pregunta 15-2 en todos los sistemas de TI más antiguos?</t>
  </si>
  <si>
    <t>15-5</t>
  </si>
  <si>
    <t>¿En qué medida se mantiene y actualiza la documentación de las rutinas operativas?</t>
  </si>
  <si>
    <t>15-6</t>
  </si>
  <si>
    <t>¿Tiene la empresa requisitos internos que cubran la documentación de los procedimientos operativos y las rutinas de mantenimiento para los sistemas de TI críticos?</t>
  </si>
  <si>
    <t>15-7</t>
  </si>
  <si>
    <t>¿En qué medida se cumple el requisito de anterior en todos los nuevos sistemas de TI?</t>
  </si>
  <si>
    <t>15-8</t>
  </si>
  <si>
    <t>¿En qué medida se cumple el requisito de la pregunta 15-6 en todos los sistemas de TI más antiguos?</t>
  </si>
  <si>
    <t>15-9</t>
  </si>
  <si>
    <t>¿En qué medida se actualiza y mantiene actualizada la documentación de los procedimientos operativos y las rutinas de mantenimiento?</t>
  </si>
  <si>
    <t>15-10</t>
  </si>
  <si>
    <t>¿En qué medida se han documentado todos los procedimientos operativos y rutinas necesarios para cada aplicación crítica?</t>
  </si>
  <si>
    <t>15-11</t>
  </si>
  <si>
    <t>¿Tiene la empresa requisitos internos para realizar copias de seguridad de datos en sistemas críticos?</t>
  </si>
  <si>
    <t>15-12</t>
  </si>
  <si>
    <t>¿En qué medida se realiza una copia de seguridad periódica de la información y las aplicaciones en todos los sistemas críticos?</t>
  </si>
  <si>
    <t>15-13</t>
  </si>
  <si>
    <t>¿Hasta qué punto se prueban regularmente estas copias de seguridad para verificar su legibilidad?</t>
  </si>
  <si>
    <t xml:space="preserve"> 16. - Los procedimientos para informar eventos e incidentes de seguridad de la información deben documentarse e implementarse en la organización.</t>
  </si>
  <si>
    <t>16-1</t>
  </si>
  <si>
    <t>¿En qué medida la empresa cuenta con un proceso gestionado y documentado para enfrentar los incidentes de seguridad de la información?</t>
  </si>
  <si>
    <t>16-2</t>
  </si>
  <si>
    <t>¿En qué medida la empresa ha definido y documentado lo que considera incidentes de seguridad de la información?</t>
  </si>
  <si>
    <t>16-3</t>
  </si>
  <si>
    <t>¿Hasta qué punto la empresa ha documentado cómo manejar los incidentes de seguridad de la información más probables?</t>
  </si>
  <si>
    <t>16-4</t>
  </si>
  <si>
    <t>¿En qué medida ha desarrollado la empresa directrices documentadas sobre cómo se deben enfrentar los incidentes de seguridad de la información en el dominio de sus TI?</t>
  </si>
  <si>
    <t>16-5</t>
  </si>
  <si>
    <t>¿Tiene la empresa herramientas/plantillas que los usuarios puedan utilizar para reportar incidentes de seguridad de la información?</t>
  </si>
  <si>
    <t>16-7</t>
  </si>
  <si>
    <t>¿Tiene la empresa requisitos documentados para que los usuarios informen sobre incidentes de seguridad de la información?</t>
  </si>
  <si>
    <t>16-8</t>
  </si>
  <si>
    <t>¿Si respondió SÍ a la pregunta 16-7, conteste: ¿En qué medida se cumple este requisito? Si respondio NO, no le aplica.</t>
  </si>
  <si>
    <t>16-9</t>
  </si>
  <si>
    <t>¿En qué medida se registran, dan seguimiento y aprenden de los incidentes de seguridad de la información reportados?</t>
  </si>
  <si>
    <t>16-10</t>
  </si>
  <si>
    <t>¿En qué medida se informa a la alta dirección cuando se producen incidentes graves de seguridad?</t>
  </si>
  <si>
    <t>16-11</t>
  </si>
  <si>
    <t>¿En qué medida la alta dirección recibe informes periódicos (preferiblemente mensuales) sobre incidentes de seguridad de la información?</t>
  </si>
  <si>
    <t xml:space="preserve"> 17. - Todos los equipos y programas informáticos deberán estar claramente identificados y registrados en un inventario actualizado permanentemente.</t>
  </si>
  <si>
    <t>17-1</t>
  </si>
  <si>
    <t>¿Tiene la empresa un proceso para garantizar que todo el hardware y software se identifique, documente y mantenga actualizado en un inventario?</t>
  </si>
  <si>
    <t>17-2</t>
  </si>
  <si>
    <t>¿En qué medida los inventarios contienen la información necesaria para protegerse y recuperarse de un incidente de seguridad de la información?</t>
  </si>
  <si>
    <t>17-3</t>
  </si>
  <si>
    <t>¿Tiene la empresa un requisito sobre la forma en que se debe manejar la gestión del acceso a la información en el inventario de activos?</t>
  </si>
  <si>
    <t xml:space="preserve"> 18. - El acceso remoto a los sistemas se limitará a los usuarios, procesos o dispositivos autorizados, y a las actividades autorizadas.</t>
  </si>
  <si>
    <t>18-1</t>
  </si>
  <si>
    <t>¿Tiene la empresa una política documentada para el uso aceptable del acceso remoto a los sistemas?</t>
  </si>
  <si>
    <t>18-2</t>
  </si>
  <si>
    <t>¿La empresa tiene procesos de trabajo documentados para el acceso remoto a los sistemas?</t>
  </si>
  <si>
    <t>18-3</t>
  </si>
  <si>
    <t>¿En qué medida se cumplen estos procesos de trabajo?</t>
  </si>
  <si>
    <t>18-4</t>
  </si>
  <si>
    <t>¿Tiene la empresa una solución de acceso remoto seguro que respalde la política de acceso remoto y los procesos de trabajo?</t>
  </si>
  <si>
    <t>18-5</t>
  </si>
  <si>
    <t>¿El acceso remoto admite el acceso limitado en el tiempo basado en órdenes de trabajo?</t>
  </si>
  <si>
    <t>18-6</t>
  </si>
  <si>
    <t>¿Hasta qué punto los procesos de acceso remoto basados en arquitecturas seguras están implementados en la empresa?</t>
  </si>
  <si>
    <t>18-7</t>
  </si>
  <si>
    <t>¿La solución de acceso remoto requiere que los usuarios se autentiquen como individuos?</t>
  </si>
  <si>
    <t>18-8</t>
  </si>
  <si>
    <t>¿La solución de acceso remoto impone el uso de autenticación de dos factores y contraseñas de un solo uso?</t>
  </si>
  <si>
    <t>18-9</t>
  </si>
  <si>
    <t>¿Hasta qué punto la solución de acceso remoto seguro es el único método disponible de acceso remoto? ¿Existe algún tipo de "puerta trasera"?</t>
  </si>
  <si>
    <t>18-10</t>
  </si>
  <si>
    <t>¿En qué medida se registra y se puede auditar la actividad de acceso remoto?</t>
  </si>
  <si>
    <t>18-11</t>
  </si>
  <si>
    <t>¿En qué medida se revisa periódicamente la solución de acceso remoto seguro para garantizar que se identifiquen y eliminen las vulnerabilidades?</t>
  </si>
  <si>
    <t xml:space="preserve"> 19. - Se debe documentar y cumplir un proceso para gestionar el acceso a los sistemas informáticos.</t>
  </si>
  <si>
    <t>19-1</t>
  </si>
  <si>
    <t>¿Hasta qué punto la empresa tiene un proceso que cubre la gestión de identidades?</t>
  </si>
  <si>
    <t>19-2</t>
  </si>
  <si>
    <t>¿Hasta qué punto se controla, audita y mantiene al mínimo el uso de una cuenta de administrador?</t>
  </si>
  <si>
    <t>19-3</t>
  </si>
  <si>
    <t>¿Hasta qué punto está centralizada la gestión de los usuarios?</t>
  </si>
  <si>
    <t>19-4</t>
  </si>
  <si>
    <t>¿En qué medida se identifica de forma única a los usuarios cuando acceden al sistema?</t>
  </si>
  <si>
    <t>19-5</t>
  </si>
  <si>
    <t>¿En qué medida se definen y cumplen las funciones y responsabilidades de la gestión de usuarios?</t>
  </si>
  <si>
    <t>19-6</t>
  </si>
  <si>
    <t>¿Hasta qué punto la empresa tiene un proceso que cubre la gestión de accesos?</t>
  </si>
  <si>
    <t>19-7</t>
  </si>
  <si>
    <t>¿En qué medida el proceso de gestión de accesos cubre a un usuario que cambia de roles o abandona la empresa?</t>
  </si>
  <si>
    <t>Empresa:</t>
  </si>
  <si>
    <t>Fecha de evaluación:</t>
  </si>
  <si>
    <t>Participantes en la evaluación</t>
  </si>
  <si>
    <t xml:space="preserve"> </t>
  </si>
  <si>
    <t>Concepto evaluado e interpretación</t>
  </si>
  <si>
    <t xml:space="preserve">3 &lt; PO ≤ 4 </t>
  </si>
  <si>
    <t>Su empresa tiene lo necesario para considerar que su  política de seguridad de la información existe y es eficaz.</t>
  </si>
  <si>
    <t>2 &lt; PO ≤ 3</t>
  </si>
  <si>
    <t>Su empresa tiene una aceptable política se seguridad de la información pero requiere actualización anual y auditorías de cumplimiento para estar seguro de que se cumple.</t>
  </si>
  <si>
    <t>1 &lt; PO ≤ 2</t>
  </si>
  <si>
    <t>Su empresa adolece de una eficaz política de seguridad y es necesario reforzar la capacitación del personal y concientización de cumplimiento.</t>
  </si>
  <si>
    <t>0 &lt; PO ≤ 1</t>
  </si>
  <si>
    <t>No tiene una política de seguridad de la información y requiere algún proceso básico que ejecute su personal para salir del grado de exposición que su empresa tiene.</t>
  </si>
  <si>
    <r>
      <t>Su empresa tiene un buen sistema de administración de riesgos de seguridad, está bajo la denominación de r</t>
    </r>
    <r>
      <rPr>
        <i/>
        <sz val="11"/>
        <rFont val="Arial"/>
        <family val="2"/>
      </rPr>
      <t>iesgos bajo control.</t>
    </r>
  </si>
  <si>
    <r>
      <t xml:space="preserve">Aunque la administración de riesgos tiene un nivel aceptable todavía tiene vulnerabilidades que debe revisar.
Es necesario que realice un análisis exhaustivo de vulnerabilidades en gente, procesos y tecnología para asegurar una denominación de </t>
    </r>
    <r>
      <rPr>
        <i/>
        <sz val="11"/>
        <rFont val="Arial"/>
        <family val="2"/>
      </rPr>
      <t>riesgos bajo control.</t>
    </r>
  </si>
  <si>
    <t>Su administración de riesgos de seguridad de la información es deficiente y tiene expuesta a su organización.
Es necesario que lo antes posible realice una revisión exhaustiva de vulnerabilidades.</t>
  </si>
  <si>
    <t>La información de su empresa está expuesta.
Es urgente que realice una análisis exhaustivo de vulnerabilidades.</t>
  </si>
  <si>
    <t>Su empresa tiene un buen sistema de administración de funciones, responsabilidades y autoridad de uso de la información para el personal.</t>
  </si>
  <si>
    <t>Aunque su administración de funciones de uso de información es bueno, es necesario que revise la parte de responsabilidades y autoridad de uso de la información en su personal.</t>
  </si>
  <si>
    <t>Su sistema de administración de funciones, responsabilidades y autoridad de uso de la información es muy deficiente.
Es importante que revise este tema lo antes posible.</t>
  </si>
  <si>
    <t>Su sistema de administración de funciones, responsabilidades y autoridad de uso de la información es inexistente.
Esta situación tiene expuesta a su empresa.
Es urgente que cuanto antes se atienda esta condición.</t>
  </si>
  <si>
    <r>
      <t xml:space="preserve">Su infraestructura está controlada y se encuentra en la condición de </t>
    </r>
    <r>
      <rPr>
        <i/>
        <sz val="11"/>
        <rFont val="Arial"/>
        <family val="2"/>
      </rPr>
      <t>vulnerabilidades bajo control.</t>
    </r>
  </si>
  <si>
    <r>
      <t xml:space="preserve">Aunque su infraestructura es buena requiere de revisiones de configuración de políticas de seguridad en equipos de comunicación y redes para lograr la condición de </t>
    </r>
    <r>
      <rPr>
        <i/>
        <sz val="11"/>
        <rFont val="Arial"/>
        <family val="2"/>
      </rPr>
      <t>vulnerabilidades bajo control.</t>
    </r>
  </si>
  <si>
    <r>
      <t>La infraestructura de su empresa apenas cumple con los requisitos básicos para controlar las vulneabilidades más importantes.
Es nedcesio que cuanto antes desarrolle un plan de análisis de vulnerabilidades en equipos de comunicación y redes.
Su condición es de v</t>
    </r>
    <r>
      <rPr>
        <i/>
        <sz val="11"/>
        <rFont val="Arial"/>
        <family val="2"/>
      </rPr>
      <t>ulnerabilidades latentes.</t>
    </r>
  </si>
  <si>
    <r>
      <t xml:space="preserve">La infraestructura de su empresa está expuesta.
Su condición es de </t>
    </r>
    <r>
      <rPr>
        <i/>
        <sz val="11"/>
        <rFont val="Arial"/>
        <family val="2"/>
      </rPr>
      <t>vulnerabilidades sin control.</t>
    </r>
  </si>
  <si>
    <r>
      <t xml:space="preserve">Su personal está consciente y ejecuta los procesos de seguridad de la información.
Su empresa tiene la condición de </t>
    </r>
    <r>
      <rPr>
        <i/>
        <sz val="11"/>
        <rFont val="Arial"/>
        <family val="2"/>
      </rPr>
      <t>cultura de seguridad de la información bajo control.</t>
    </r>
  </si>
  <si>
    <r>
      <t xml:space="preserve">Su personal aunque está consciente de la seguridad de la información tiene fallas debido a capacitación deficiente.
Es importante que cuanto antes ejecute un nuevo plan de concientización y capacitación de seguridad de la información para su personal.
Su empresa tiene la condición de </t>
    </r>
    <r>
      <rPr>
        <i/>
        <sz val="11"/>
        <rFont val="Arial"/>
        <family val="2"/>
      </rPr>
      <t>cultura de seguirdad de la información básica</t>
    </r>
    <r>
      <rPr>
        <sz val="11"/>
        <rFont val="Arial"/>
        <family val="2"/>
      </rPr>
      <t>.</t>
    </r>
  </si>
  <si>
    <r>
      <t xml:space="preserve">Su personal no tiene consciencia y comportamientos adecuados para ejecutar una eficiente política de seguridad de la información.
Su empresa tiene la condición de </t>
    </r>
    <r>
      <rPr>
        <i/>
        <sz val="11"/>
        <rFont val="Arial"/>
        <family val="2"/>
      </rPr>
      <t>cultura de seguridad de la información ineficiente</t>
    </r>
    <r>
      <rPr>
        <sz val="11"/>
        <rFont val="Arial"/>
        <family val="2"/>
      </rPr>
      <t>.</t>
    </r>
  </si>
  <si>
    <r>
      <t xml:space="preserve">Los usos y construmbres de su personal exponen a su empresa.
Es urgente que implemente un plan de concientización, capacitación y supervisión de política de seguridad de la información.
Su empresa tiene la condición de </t>
    </r>
    <r>
      <rPr>
        <i/>
        <sz val="11"/>
        <rFont val="Arial"/>
        <family val="2"/>
      </rPr>
      <t>cultura de seguridad de la información inexistente.</t>
    </r>
  </si>
  <si>
    <r>
      <t xml:space="preserve">Su empresa tiene un control eficaz sobre la utilización institucional de sus equipos informáticos.
La condición de su empresa es </t>
    </r>
    <r>
      <rPr>
        <i/>
        <sz val="11"/>
        <rFont val="Arial"/>
        <family val="2"/>
      </rPr>
      <t>infraestructura controlada.</t>
    </r>
  </si>
  <si>
    <r>
      <t xml:space="preserve">Su empresa tiene un control eficaz sobre la utilización institucional de sus equipos informáticos de escritorio pero deficiente en móviles o externos a la red corporativa.
La condición de su empresa es </t>
    </r>
    <r>
      <rPr>
        <i/>
        <sz val="11"/>
        <rFont val="Arial"/>
        <family val="2"/>
      </rPr>
      <t>infraestructura parcialmente controlada.</t>
    </r>
  </si>
  <si>
    <r>
      <t xml:space="preserve">Su empresa tiene vulnerabiliades latentes debidas a una deficiente administración y control de su infraestructura informática.
La condición de su empresa es </t>
    </r>
    <r>
      <rPr>
        <i/>
        <sz val="11"/>
        <rFont val="Arial"/>
        <family val="2"/>
      </rPr>
      <t>infraestructura bajo riesgo.</t>
    </r>
  </si>
  <si>
    <r>
      <t xml:space="preserve">Su empresa tiene vulnerabilidades graves y expuestas.
Es urgente que implente un plan de revisión de políticas y procesos de utilización de equipos informáticos.
La condición de su empresa es </t>
    </r>
    <r>
      <rPr>
        <i/>
        <sz val="11"/>
        <rFont val="Arial"/>
        <family val="2"/>
      </rPr>
      <t>infraestructura sin control.</t>
    </r>
  </si>
  <si>
    <t>Su empresa, aunque tiene administradas sus vulnerabilidades, sabe que pueden acontecer incidentes de seguridad y por eso mantiene un plan de recuperación de desatres actualizado y eficaz.</t>
  </si>
  <si>
    <t>Su empresa debe extender la comunicación de recuperación de desastres a todo el personal y no solamente al especializado en informática.
Es necesario que realice actividades de simulación de desastres para validar la eficacia de sus planes de recuperación.</t>
  </si>
  <si>
    <t>Su empresa debe implementar un plan de recuperación de desastres.
Su empresa ante un evento de desastre de seguridad de la información no está preparada y perderá tiempo valioso en organizar su reacción.</t>
  </si>
  <si>
    <t>Su empresa está totalmente indefensa ante un desastre de seguridad de la información.
Es urgente que implemente un plan para tal efecto.</t>
  </si>
  <si>
    <t>Sus proveedores están debidamente alineados a su política de seguridad de la información.</t>
  </si>
  <si>
    <t>Sus proveedores deben recibir un reforzamiento en la comprensión de su política se seguridad de la información.</t>
  </si>
  <si>
    <t>Es importante que involucre a proveedores y asociados en su política de seguridad de la información.</t>
  </si>
  <si>
    <t>Si no involucra a sus proveedores asociados a su política de seguridad de la información tiene un potencial fallo de seguridad que afectará a sus clientes.</t>
  </si>
  <si>
    <t>Su infraestructura está protegida con actualizaciones y soporte técnico adecuado.</t>
  </si>
  <si>
    <t>Parte de su infraestructura está desprotegida ante actualizaciones o fallas.</t>
  </si>
  <si>
    <t>Debe identificar la infraestructura crítica y aplicarle un plan de servicio y soporte.</t>
  </si>
  <si>
    <t>Su infraestructura se encuentra vulnerable y sin mantenimiento.</t>
  </si>
  <si>
    <t>Su empresa cuenta con un plan de cambios eficaz que impide la aparición de incidentes de seguridad auto infringidos.</t>
  </si>
  <si>
    <t>Su plan de cambios en la mayoría de los casos opera correctamente, pero ocasionalmente no es ejecutado y provoca incidentes de seguridad de la información.
Debe reforzar la concientización del personal de cumplirlo cabalmente.</t>
  </si>
  <si>
    <t>Su plan de cambios es deficiente, siendo origen de frecuentes incidentes de seguridad de la información.
Debe revisar su proceso de Administración de Cambios para evaluar las deficiencias existentes.</t>
  </si>
  <si>
    <t>Sus principales fuentes de incidentes de seguridad son sus procesos desordenados de cambios a la infraestructura de TI.
Es usted su más importate violador de seguridad de la información.</t>
  </si>
  <si>
    <t>Mantiene su red informática actualizada y documentada que le permitirá identificar posibles vulnerabilidades o diagnosticar las causas de incidentes de seguridad de la información.</t>
  </si>
  <si>
    <t>Debe comprender que si ya se esforzó por documentar la infraestructura de red informática, lo mejor es mantenerla actualizada para un adecuado análisis de vulnerabilidad y no perder tiempo de respuesta ante incidentes de seguridad de la información.</t>
  </si>
  <si>
    <t>Sin un documento que contenga información actualizada de su infraestructura informática no podra realizar análsisi de vulnerabilidades y reaccionará lentamente ante incidentes de seguridad de la información.
Designe los recursos necesarios para mantener actualizada dicha información.</t>
  </si>
  <si>
    <t>Sin información sobre su infraestructura de Ti, cualquier incidente de seguridad y no solamente robo de información no podrá ser resuelto o quizá identificado oportunamente.
Es urgente que sepa cómo está constituida su infraestructura de TI y los puntos de debilidad en la misma.</t>
  </si>
  <si>
    <t>Mantiene permanentemente protegida su infraestructura de seguridad de la información para beneficio de su personal, asociados y clientes.</t>
  </si>
  <si>
    <t>Debe mantener un plan continuo de actulización de parches y sistemas de seguridad.
Corre el riesgo que se presente un incidente grave por no realizar esta actividad lo más inmediatamente posible a la liberación de los mismos.</t>
  </si>
  <si>
    <t>Actualizar parches de seguridad después de un incidente o eventualmente posiciona a su empresa en un nivel alto de riesgo potencial.
No deje al azar la seguridad de información de sus clientes, personal y proveedores.</t>
  </si>
  <si>
    <t>Sin parches de seguridad actualizados es como dejar abiertas las puertas de sus oficinas, podrá entrar el que quiera.
Tiene una grave exposición a incidentes de seguridad de la información.</t>
  </si>
  <si>
    <t>Debe mantener un plan continuo de actulización y evaluación internas de seguridad de la información.
Corre el riesgo que se presente un incidente grave por no realizar evaluaciones de la eficacia de sus protocolos de seguridad de la información en sistemas y bases de datos.</t>
  </si>
  <si>
    <t>Debe reforzar su plan de evaluación de vulnerabilidades a sistemas y bases de datos para evitar incidentes de seguridad de la información.
No deje al azar la seguridad de información de sus clientes, personal y proveedores.</t>
  </si>
  <si>
    <t>Sin un proceso actualizado y debidamente ejecutado de análisis de vulnerabilidades de sistemas y bases de datos la mejor seguridad que puede obtener es de la suerte.
Tiene una grave exposición a incidentes de seguridad de la información.</t>
  </si>
  <si>
    <t>Aunque confía en su personal, no deja nada al azar y tiene bien establecidos protocolos y políticas de seguridad de acceso.</t>
  </si>
  <si>
    <t>Sin importar el nivel organizacional del personal debe obligar a todos a cumplir con los protocolos y políticas de seguridad de acceso.
Confíe pero verifique.</t>
  </si>
  <si>
    <t>No hay personal confiable o no confiable, sólo hay personal que cumple con los procesos, por lo tanto no deje a la honestidad del personal el cumplimiento de reglas de seguridad de la información, ya que por un error también se pueden presentar, no necesariamente por una mala intención.
Mejor desarrolle o actualice sus protocolos y políticas de acceso a sistemas y equipos para todo el personal.</t>
  </si>
  <si>
    <t>Si piensa que la gente no se equivoca está en un error, los incidentes de seguridad también se pueden presentar por errores y no sólo por malas intenciones.
Es urgente que cambie su punto de vista y comprenda que tiene expuesta a su empresa sin protocolos y políticas de acceso a sistemas y equipos.</t>
  </si>
  <si>
    <t>Sus procesos de seguridad de la información son eficaces y actualizados y son ejecutados disciplinadamente por su personal de TI.</t>
  </si>
  <si>
    <t>Sus procesos de seguridad de la información presentan en ocaciones obsolescencia o no son cumplidos por el personal de TI.</t>
  </si>
  <si>
    <t>Sus procesos de seguridad de la información son deficientes y su personal no siempre los ejecuta con disciplina.
Debe realizar una revisión para actualizarlos y concientizar al personal de TI de ejecutarlos disciplinadamente.</t>
  </si>
  <si>
    <t>Sin procesos de seguridad de la información su empresa es una casa abierta.
Es de gran urgencia que atienda esta vulnerabilidad.</t>
  </si>
  <si>
    <t>Mantiene un capital intelectual adecuado para evaluar incidentes de seguridad de la información y apreder continuamente.</t>
  </si>
  <si>
    <t>Debe reforzar su plan de evaluación de incidentes de seguridad para aprender de los problemas presentados y mejorar continuamente.</t>
  </si>
  <si>
    <t>Sin un plan de aprendizaje y lecciones aprendidas basado en el análisis de incidentes de seguridad su empresa siempre estará supeditada a que un incidente no se provocado por una nueva tecnología ya que si es así no sabrá bien qué hacer perdiendo valioso tiempo de acciones remediales.</t>
  </si>
  <si>
    <t>Ninguna empresa sobrevive en el largo plazo sin un plan de capitalización de experiencias.
Es urgente que atienda a la implementación de un programa permanente de evaluación de cada incidente de seguridad de la información.</t>
  </si>
  <si>
    <t>Sabe muy bien la cantidad y tipo de equipo que compone su infraestructura, con los beneficios administrativos y financieros que esto trae.</t>
  </si>
  <si>
    <t>Es importante que no sólo el equipo del Centro de Datos este debidamente identificado, sino todos los componentes de su infraestructura de TI.
Actulice y extienda su análisis a toda la infraestructura existente.</t>
  </si>
  <si>
    <t>Actualizar exporádicamente la cantidad, tipo y condiciones de los componentes de su infraestructura de TI le impedirá reaccionar eficazmente cuando se le presente un incidente de seguridad de la información grave.
Es esencial que atienda este tema lo antes posible.</t>
  </si>
  <si>
    <t>Sin información sobre su infraestructura de TI no podrá saber el impacto que tuvo cualquier incidente de seguridad de la información que se haya presentado.
Sin esta información su empresa esta expuesta a todo tipo de comportamiento malicioso y usted no podrá actuar remedialmente.</t>
  </si>
  <si>
    <t>Cualquier usuario de su red está debidamente autorizado, monitoreado y controlado evitando que cualquier acceso remoto sea un potencial incidente de seguridad.</t>
  </si>
  <si>
    <t>Ningún usuario de su red, sin importar la causa debe ingresar sin autorización y no debe estar monitoreado y controlado.
Aunque haya usuarios que se quejen por este motivo debe asegurarse que cualquier acceso remoto está totalmente controlado.</t>
  </si>
  <si>
    <t>No hay ususario confiables y no confiables, todos deben tener accesos remotos controlados.
En importante que mantenga permanentemente actualizada la lista de todos sus usarios remotos, tanto permanentes como ocasionales y se les deben aplicar los procedimientos de control correspondientes.</t>
  </si>
  <si>
    <t>No saber quién, cuándo, desde dónde y qué acciones realizó desde un acceso remoto es de una gravedad crítica.
Tiene muy expuesta a su organización, corriga este aspecto lo antes posible, realícelo con urgencia.</t>
  </si>
  <si>
    <t>Mantiene actualizado permanentemente todos los procesos, procedimientos y políticas de seguridad de la información.
Sabe que se cumplen disciplinadamente.</t>
  </si>
  <si>
    <t>No hay procesos importantes y no importantes en seguridad de la información.
Debe asegurarse que todos están actualizados y se cumplen disciplinadamente.</t>
  </si>
  <si>
    <t>No conocer perfectamente si sus procesos, procedimientos y políticas de seguridad de la información están actualizados y se cumplen disciplinadamente expone su empresa a riegos azarosos que le complicarán sus actividades remediales.
Asegúrese de que esto no sucede.</t>
  </si>
  <si>
    <t>Tener pocos procesos, procedimientos y políticas de seguridad de la información es tener poca seguridad y creer que se está totalmente seguro.
Atienda con urgencia la existencia de todos los procesos de seguridad de la información necesarios para su empresa y asegúrese de que se cumplen disciplinadamente.</t>
  </si>
  <si>
    <t>Obtén más recursos y conoce nuestros servicios en innevo.com</t>
  </si>
  <si>
    <t>NO, EN ABSOLUTO.</t>
  </si>
  <si>
    <t>0-5%</t>
  </si>
  <si>
    <t>EN MENOR GRADO.</t>
  </si>
  <si>
    <t>6-35%</t>
  </si>
  <si>
    <t>HASTA CIERTO GRADO.</t>
  </si>
  <si>
    <t>36-65%</t>
  </si>
  <si>
    <t>EN GRAN PARTE.</t>
  </si>
  <si>
    <t>66-95%</t>
  </si>
  <si>
    <t>TOTALMENTE, COMPLETAMENTE.</t>
  </si>
  <si>
    <t>96-100%</t>
  </si>
  <si>
    <t>NO APLICABLE.</t>
  </si>
  <si>
    <t>N/A</t>
  </si>
  <si>
    <t>NO</t>
  </si>
  <si>
    <t>SÍ</t>
  </si>
  <si>
    <t>Cómo usar este recurso</t>
  </si>
  <si>
    <t>1. Guarda una copia en tu dispositivo o almacenamiento en la nube</t>
  </si>
  <si>
    <t>2. Abre el documento.</t>
  </si>
  <si>
    <t>3. Si tus configuraciones de seguridad lo abren en "VISTA PROTEGIDA", asegúrate de Habilitar la edición.</t>
  </si>
  <si>
    <t>4. Siguiendo estos pasos, podrás hacer uso de la hoja CUESTIONARIO que calculará automáticamente el puntaje de tu empresa según tus respuestas.</t>
  </si>
  <si>
    <t>5. Revisa la hoja INTERPRETACIÓN DEL DIAGNÓSTICO para conocer los resultados.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</si>
</sst>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0"/>
      <name val="Arial"/>
    </font>
    <font>
      <sz val="8"/>
      <name val="Arial"/>
      <family val="2"/>
    </font>
    <font>
      <sz val="12"/>
      <name val="Arial"/>
      <family val="2"/>
    </font>
    <font>
      <sz val="12"/>
      <color indexed="9"/>
      <name val="Arial"/>
      <family val="2"/>
    </font>
    <font>
      <sz val="12"/>
      <name val="Arial"/>
      <family val="2"/>
    </font>
    <font>
      <sz val="14"/>
      <name val="Arial"/>
      <family val="2"/>
    </font>
    <font>
      <sz val="10"/>
      <name val="Arial"/>
      <family val="2"/>
    </font>
    <font>
      <b/>
      <sz val="12"/>
      <color theme="0"/>
      <name val="Arial"/>
      <family val="2"/>
    </font>
    <font>
      <b/>
      <sz val="11"/>
      <name val="Arial"/>
      <family val="2"/>
    </font>
    <font>
      <sz val="11"/>
      <name val="Arial"/>
      <family val="2"/>
    </font>
    <font>
      <i/>
      <sz val="11"/>
      <name val="Arial"/>
      <family val="2"/>
    </font>
    <font>
      <u/>
      <sz val="10"/>
      <color theme="10"/>
      <name val="Arial"/>
      <family val="2"/>
    </font>
    <font>
      <sz val="14"/>
      <color theme="0"/>
      <name val="Arial"/>
      <family val="2"/>
    </font>
    <font>
      <b/>
      <sz val="12"/>
      <color theme="1" tint="0.34998626667073579"/>
      <name val="Arial"/>
      <family val="2"/>
    </font>
    <font>
      <sz val="12"/>
      <color theme="1" tint="0.34998626667073579"/>
      <name val="Arial"/>
      <family val="2"/>
    </font>
    <font>
      <sz val="11"/>
      <color theme="1" tint="0.249977111117893"/>
      <name val="Arial"/>
      <family val="2"/>
    </font>
    <font>
      <b/>
      <sz val="18"/>
      <color theme="3"/>
      <name val="Arial"/>
      <family val="2"/>
    </font>
    <font>
      <sz val="18"/>
      <color theme="0"/>
      <name val="Arial"/>
      <family val="2"/>
    </font>
    <font>
      <b/>
      <sz val="18"/>
      <color theme="0"/>
      <name val="Arial"/>
      <family val="2"/>
    </font>
    <font>
      <b/>
      <sz val="16"/>
      <color theme="1" tint="0.14999847407452621"/>
      <name val="Arial"/>
      <family val="2"/>
    </font>
    <font>
      <sz val="12"/>
      <color theme="1" tint="0.14999847407452621"/>
      <name val="Arial"/>
      <family val="2"/>
    </font>
    <font>
      <sz val="12"/>
      <color theme="3"/>
      <name val="Arial"/>
      <family val="2"/>
    </font>
  </fonts>
  <fills count="1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2"/>
        <bgColor indexed="64"/>
      </patternFill>
    </fill>
    <fill>
      <patternFill patternType="solid">
        <fgColor theme="5"/>
        <bgColor indexed="64"/>
      </patternFill>
    </fill>
    <fill>
      <patternFill patternType="solid">
        <fgColor theme="4"/>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bgColor indexed="64"/>
      </patternFill>
    </fill>
    <fill>
      <patternFill patternType="solid">
        <fgColor theme="5" tint="-0.249977111117893"/>
        <bgColor indexed="64"/>
      </patternFill>
    </fill>
    <fill>
      <patternFill patternType="solid">
        <fgColor theme="6"/>
        <bgColor indexed="64"/>
      </patternFill>
    </fill>
    <fill>
      <patternFill patternType="solid">
        <fgColor rgb="FFFCC336"/>
        <bgColor indexed="64"/>
      </patternFill>
    </fill>
    <fill>
      <patternFill patternType="solid">
        <fgColor theme="9"/>
        <bgColor indexed="64"/>
      </patternFill>
    </fill>
    <fill>
      <patternFill patternType="solid">
        <fgColor theme="9" tint="-0.249977111117893"/>
        <bgColor indexed="64"/>
      </patternFill>
    </fill>
    <fill>
      <patternFill patternType="solid">
        <fgColor theme="6" tint="0.79998168889431442"/>
        <bgColor indexed="64"/>
      </patternFill>
    </fill>
  </fills>
  <borders count="38">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thin">
        <color theme="0"/>
      </top>
      <bottom style="thin">
        <color theme="0"/>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tint="-0.14999847407452621"/>
      </left>
      <right style="medium">
        <color theme="0"/>
      </right>
      <top style="medium">
        <color theme="0" tint="-0.14999847407452621"/>
      </top>
      <bottom style="medium">
        <color theme="0"/>
      </bottom>
      <diagonal/>
    </border>
    <border>
      <left style="medium">
        <color theme="0"/>
      </left>
      <right style="medium">
        <color theme="0"/>
      </right>
      <top style="medium">
        <color theme="0" tint="-0.14999847407452621"/>
      </top>
      <bottom style="medium">
        <color theme="0"/>
      </bottom>
      <diagonal/>
    </border>
    <border>
      <left style="medium">
        <color theme="0"/>
      </left>
      <right style="medium">
        <color theme="0" tint="-0.14999847407452621"/>
      </right>
      <top style="medium">
        <color theme="0" tint="-0.14999847407452621"/>
      </top>
      <bottom style="medium">
        <color theme="0"/>
      </bottom>
      <diagonal/>
    </border>
    <border>
      <left style="medium">
        <color theme="0" tint="-0.14999847407452621"/>
      </left>
      <right style="medium">
        <color theme="0"/>
      </right>
      <top style="medium">
        <color theme="0"/>
      </top>
      <bottom style="medium">
        <color theme="0"/>
      </bottom>
      <diagonal/>
    </border>
    <border>
      <left style="medium">
        <color theme="0"/>
      </left>
      <right style="medium">
        <color theme="0" tint="-0.14999847407452621"/>
      </right>
      <top style="medium">
        <color theme="0"/>
      </top>
      <bottom style="medium">
        <color theme="0"/>
      </bottom>
      <diagonal/>
    </border>
    <border>
      <left style="medium">
        <color theme="0"/>
      </left>
      <right/>
      <top style="medium">
        <color theme="0"/>
      </top>
      <bottom style="medium">
        <color theme="0"/>
      </bottom>
      <diagonal/>
    </border>
    <border>
      <left/>
      <right style="medium">
        <color theme="0" tint="-0.14999847407452621"/>
      </right>
      <top style="medium">
        <color theme="0"/>
      </top>
      <bottom style="medium">
        <color theme="0"/>
      </bottom>
      <diagonal/>
    </border>
    <border>
      <left style="medium">
        <color theme="0"/>
      </left>
      <right style="medium">
        <color theme="0" tint="-0.14999847407452621"/>
      </right>
      <top style="medium">
        <color theme="0"/>
      </top>
      <bottom/>
      <diagonal/>
    </border>
    <border>
      <left style="medium">
        <color theme="0"/>
      </left>
      <right style="medium">
        <color theme="0"/>
      </right>
      <top style="thin">
        <color theme="0" tint="-0.14999847407452621"/>
      </top>
      <bottom style="thin">
        <color theme="0" tint="-0.14999847407452621"/>
      </bottom>
      <diagonal/>
    </border>
    <border>
      <left style="medium">
        <color theme="0"/>
      </left>
      <right style="medium">
        <color theme="0" tint="-0.14999847407452621"/>
      </right>
      <top style="medium">
        <color theme="0"/>
      </top>
      <bottom style="thin">
        <color theme="0" tint="-0.14999847407452621"/>
      </bottom>
      <diagonal/>
    </border>
    <border>
      <left style="medium">
        <color theme="0"/>
      </left>
      <right style="medium">
        <color theme="0"/>
      </right>
      <top style="medium">
        <color theme="0"/>
      </top>
      <bottom style="thin">
        <color theme="0" tint="-0.14999847407452621"/>
      </bottom>
      <diagonal/>
    </border>
    <border>
      <left style="medium">
        <color theme="0"/>
      </left>
      <right style="medium">
        <color theme="0" tint="-0.14999847407452621"/>
      </right>
      <top style="thin">
        <color theme="0" tint="-0.14999847407452621"/>
      </top>
      <bottom style="thin">
        <color theme="0" tint="-0.14999847407452621"/>
      </bottom>
      <diagonal/>
    </border>
    <border>
      <left style="medium">
        <color theme="0"/>
      </left>
      <right style="medium">
        <color theme="0" tint="-0.14999847407452621"/>
      </right>
      <top style="thin">
        <color theme="0" tint="-0.14999847407452621"/>
      </top>
      <bottom style="medium">
        <color theme="0"/>
      </bottom>
      <diagonal/>
    </border>
    <border>
      <left style="medium">
        <color theme="0"/>
      </left>
      <right style="medium">
        <color theme="0"/>
      </right>
      <top/>
      <bottom/>
      <diagonal/>
    </border>
    <border>
      <left style="medium">
        <color theme="0"/>
      </left>
      <right style="medium">
        <color theme="0" tint="-0.14999847407452621"/>
      </right>
      <top/>
      <bottom/>
      <diagonal/>
    </border>
    <border>
      <left style="medium">
        <color theme="0"/>
      </left>
      <right style="medium">
        <color theme="0"/>
      </right>
      <top style="thin">
        <color theme="0" tint="-0.14999847407452621"/>
      </top>
      <bottom style="medium">
        <color theme="0"/>
      </bottom>
      <diagonal/>
    </border>
    <border>
      <left style="medium">
        <color theme="0"/>
      </left>
      <right style="medium">
        <color theme="0"/>
      </right>
      <top style="thin">
        <color theme="0" tint="-0.14999847407452621"/>
      </top>
      <bottom/>
      <diagonal/>
    </border>
    <border>
      <left style="medium">
        <color theme="0"/>
      </left>
      <right style="medium">
        <color theme="0" tint="-0.14999847407452621"/>
      </right>
      <top style="thin">
        <color theme="0" tint="-0.14999847407452621"/>
      </top>
      <bottom/>
      <diagonal/>
    </border>
    <border>
      <left style="medium">
        <color theme="0" tint="-0.14999847407452621"/>
      </left>
      <right style="medium">
        <color theme="0"/>
      </right>
      <top style="medium">
        <color theme="0"/>
      </top>
      <bottom style="medium">
        <color theme="0" tint="-0.14999847407452621"/>
      </bottom>
      <diagonal/>
    </border>
    <border>
      <left style="medium">
        <color theme="0"/>
      </left>
      <right style="medium">
        <color theme="0"/>
      </right>
      <top style="thin">
        <color theme="0" tint="-0.14999847407452621"/>
      </top>
      <bottom style="medium">
        <color theme="0" tint="-0.14999847407452621"/>
      </bottom>
      <diagonal/>
    </border>
    <border>
      <left style="medium">
        <color theme="0"/>
      </left>
      <right style="medium">
        <color theme="0" tint="-0.14999847407452621"/>
      </right>
      <top style="thin">
        <color theme="0" tint="-0.14999847407452621"/>
      </top>
      <bottom style="medium">
        <color theme="0" tint="-0.14999847407452621"/>
      </bottom>
      <diagonal/>
    </border>
    <border>
      <left/>
      <right/>
      <top style="medium">
        <color theme="0" tint="-0.14999847407452621"/>
      </top>
      <bottom/>
      <diagonal/>
    </border>
  </borders>
  <cellStyleXfs count="3">
    <xf numFmtId="0" fontId="0" fillId="0" borderId="0"/>
    <xf numFmtId="0" fontId="6" fillId="0" borderId="0"/>
    <xf numFmtId="0" fontId="11" fillId="0" borderId="0" applyNumberFormat="0" applyFill="0" applyBorder="0" applyAlignment="0" applyProtection="0"/>
  </cellStyleXfs>
  <cellXfs count="94">
    <xf numFmtId="0" fontId="0" fillId="0" borderId="0" xfId="0"/>
    <xf numFmtId="49" fontId="2" fillId="0" borderId="0" xfId="0" applyNumberFormat="1" applyFont="1" applyAlignment="1">
      <alignment vertical="justify" wrapText="1"/>
    </xf>
    <xf numFmtId="0" fontId="2" fillId="0" borderId="0" xfId="0" applyFont="1" applyAlignment="1">
      <alignment vertical="justify"/>
    </xf>
    <xf numFmtId="0" fontId="3" fillId="0" borderId="0" xfId="0" applyFont="1" applyAlignment="1">
      <alignment vertical="justify"/>
    </xf>
    <xf numFmtId="0" fontId="2" fillId="0" borderId="0" xfId="0" applyFont="1" applyAlignment="1">
      <alignment horizontal="center" vertical="justify"/>
    </xf>
    <xf numFmtId="0" fontId="0" fillId="0" borderId="0" xfId="0" applyAlignment="1">
      <alignment horizontal="center"/>
    </xf>
    <xf numFmtId="164" fontId="2" fillId="0" borderId="0" xfId="0" applyNumberFormat="1" applyFont="1" applyAlignment="1">
      <alignment horizontal="center" vertical="justify"/>
    </xf>
    <xf numFmtId="0" fontId="0" fillId="0" borderId="0" xfId="0" applyAlignment="1">
      <alignment horizontal="right"/>
    </xf>
    <xf numFmtId="0" fontId="0" fillId="2" borderId="0" xfId="0" applyFill="1"/>
    <xf numFmtId="0" fontId="2" fillId="2" borderId="0" xfId="0" applyFont="1" applyFill="1" applyAlignment="1">
      <alignment horizontal="center" vertical="justify"/>
    </xf>
    <xf numFmtId="49" fontId="2" fillId="2" borderId="0" xfId="0" applyNumberFormat="1" applyFont="1" applyFill="1" applyAlignment="1">
      <alignment vertical="justify" wrapText="1"/>
    </xf>
    <xf numFmtId="164" fontId="2" fillId="2" borderId="0" xfId="0" applyNumberFormat="1" applyFont="1" applyFill="1" applyAlignment="1">
      <alignment horizontal="center" vertical="justify"/>
    </xf>
    <xf numFmtId="0" fontId="4" fillId="2" borderId="0" xfId="0" applyFont="1" applyFill="1" applyAlignment="1">
      <alignment wrapText="1" readingOrder="1"/>
    </xf>
    <xf numFmtId="0" fontId="2" fillId="2" borderId="11" xfId="0" applyFont="1" applyFill="1" applyBorder="1" applyAlignment="1">
      <alignment vertical="justify"/>
    </xf>
    <xf numFmtId="0" fontId="3" fillId="2" borderId="10" xfId="0" applyFont="1" applyFill="1" applyBorder="1" applyAlignment="1">
      <alignment vertical="justify"/>
    </xf>
    <xf numFmtId="0" fontId="2" fillId="2" borderId="10" xfId="0" applyFont="1" applyFill="1" applyBorder="1" applyAlignment="1">
      <alignment vertical="justify"/>
    </xf>
    <xf numFmtId="0" fontId="2" fillId="2" borderId="10" xfId="0" applyFont="1" applyFill="1" applyBorder="1" applyAlignment="1">
      <alignment horizontal="center" vertical="justify"/>
    </xf>
    <xf numFmtId="0" fontId="3" fillId="0" borderId="10" xfId="0" applyFont="1" applyBorder="1" applyAlignment="1">
      <alignment vertical="justify"/>
    </xf>
    <xf numFmtId="0" fontId="2" fillId="0" borderId="10" xfId="0" applyFont="1" applyBorder="1" applyAlignment="1">
      <alignment vertical="justify"/>
    </xf>
    <xf numFmtId="0" fontId="2" fillId="0" borderId="12" xfId="0" applyFont="1" applyBorder="1" applyAlignment="1">
      <alignment vertical="justify"/>
    </xf>
    <xf numFmtId="0" fontId="5" fillId="3" borderId="2" xfId="0" applyFont="1" applyFill="1" applyBorder="1"/>
    <xf numFmtId="0" fontId="5" fillId="3" borderId="3" xfId="0" applyFont="1" applyFill="1" applyBorder="1" applyAlignment="1">
      <alignment horizontal="center"/>
    </xf>
    <xf numFmtId="0" fontId="5" fillId="3" borderId="4" xfId="0" applyFont="1" applyFill="1" applyBorder="1" applyAlignment="1">
      <alignment horizontal="right"/>
    </xf>
    <xf numFmtId="0" fontId="5" fillId="3" borderId="5" xfId="0" applyFont="1" applyFill="1" applyBorder="1"/>
    <xf numFmtId="0" fontId="5" fillId="3" borderId="0" xfId="0" applyFont="1" applyFill="1" applyAlignment="1">
      <alignment horizontal="center"/>
    </xf>
    <xf numFmtId="0" fontId="5" fillId="3" borderId="6" xfId="0" applyFont="1" applyFill="1" applyBorder="1" applyAlignment="1">
      <alignment horizontal="right"/>
    </xf>
    <xf numFmtId="9" fontId="5" fillId="3" borderId="6" xfId="0" applyNumberFormat="1" applyFont="1" applyFill="1" applyBorder="1" applyAlignment="1">
      <alignment horizontal="right"/>
    </xf>
    <xf numFmtId="0" fontId="5" fillId="3" borderId="7" xfId="0" applyFont="1" applyFill="1" applyBorder="1"/>
    <xf numFmtId="0" fontId="5" fillId="3" borderId="8" xfId="0" applyFont="1" applyFill="1" applyBorder="1" applyAlignment="1">
      <alignment horizontal="center"/>
    </xf>
    <xf numFmtId="9" fontId="5" fillId="3" borderId="1" xfId="0" applyNumberFormat="1" applyFont="1" applyFill="1" applyBorder="1" applyAlignment="1">
      <alignment horizontal="right"/>
    </xf>
    <xf numFmtId="49" fontId="7" fillId="6" borderId="13" xfId="0" applyNumberFormat="1" applyFont="1" applyFill="1" applyBorder="1" applyAlignment="1">
      <alignment horizontal="center" vertical="center" wrapText="1"/>
    </xf>
    <xf numFmtId="0" fontId="7" fillId="6" borderId="13" xfId="0" applyFont="1" applyFill="1" applyBorder="1" applyAlignment="1">
      <alignment horizontal="center" vertical="center"/>
    </xf>
    <xf numFmtId="0" fontId="2" fillId="4" borderId="13" xfId="0" applyFont="1" applyFill="1" applyBorder="1" applyAlignment="1">
      <alignment horizontal="center" vertical="center" wrapText="1"/>
    </xf>
    <xf numFmtId="0" fontId="2" fillId="4" borderId="13" xfId="0" applyFont="1" applyFill="1" applyBorder="1" applyAlignment="1">
      <alignment vertical="center" wrapText="1"/>
    </xf>
    <xf numFmtId="0" fontId="2" fillId="4" borderId="13" xfId="0" applyFont="1" applyFill="1" applyBorder="1" applyAlignment="1" applyProtection="1">
      <alignment horizontal="center" vertical="center" wrapText="1"/>
      <protection locked="0"/>
    </xf>
    <xf numFmtId="0" fontId="2" fillId="4" borderId="13" xfId="0" applyFont="1" applyFill="1" applyBorder="1" applyAlignment="1" applyProtection="1">
      <alignment horizontal="left" vertical="top" wrapText="1"/>
      <protection locked="0"/>
    </xf>
    <xf numFmtId="164" fontId="2" fillId="4" borderId="13" xfId="0" applyNumberFormat="1" applyFont="1" applyFill="1" applyBorder="1" applyAlignment="1">
      <alignment horizontal="center" vertical="justify"/>
    </xf>
    <xf numFmtId="0" fontId="2" fillId="7" borderId="13" xfId="0" applyFont="1" applyFill="1" applyBorder="1" applyAlignment="1">
      <alignment horizontal="center" vertical="center" wrapText="1"/>
    </xf>
    <xf numFmtId="0" fontId="2" fillId="7" borderId="13" xfId="0" applyFont="1" applyFill="1" applyBorder="1" applyAlignment="1">
      <alignment vertical="center" wrapText="1"/>
    </xf>
    <xf numFmtId="0" fontId="2" fillId="7" borderId="13" xfId="0" applyFont="1" applyFill="1" applyBorder="1" applyAlignment="1" applyProtection="1">
      <alignment horizontal="center" vertical="center" wrapText="1"/>
      <protection locked="0"/>
    </xf>
    <xf numFmtId="0" fontId="2" fillId="7" borderId="13" xfId="0" applyFont="1" applyFill="1" applyBorder="1" applyAlignment="1" applyProtection="1">
      <alignment horizontal="left" vertical="top" wrapText="1"/>
      <protection locked="0"/>
    </xf>
    <xf numFmtId="164" fontId="2" fillId="7" borderId="13" xfId="0" applyNumberFormat="1" applyFont="1" applyFill="1" applyBorder="1" applyAlignment="1">
      <alignment horizontal="center" vertical="justify"/>
    </xf>
    <xf numFmtId="164" fontId="7" fillId="6" borderId="14" xfId="0" applyNumberFormat="1" applyFont="1" applyFill="1" applyBorder="1" applyAlignment="1">
      <alignment horizontal="center" vertical="center" wrapText="1"/>
    </xf>
    <xf numFmtId="164" fontId="2" fillId="4" borderId="15" xfId="0" applyNumberFormat="1" applyFont="1" applyFill="1" applyBorder="1" applyAlignment="1">
      <alignment horizontal="center" vertical="justify"/>
    </xf>
    <xf numFmtId="164" fontId="7" fillId="5" borderId="13" xfId="0" applyNumberFormat="1" applyFont="1" applyFill="1" applyBorder="1" applyAlignment="1">
      <alignment horizontal="center" vertical="center" wrapText="1"/>
    </xf>
    <xf numFmtId="0" fontId="0" fillId="0" borderId="0" xfId="0" applyProtection="1">
      <protection locked="0"/>
    </xf>
    <xf numFmtId="164" fontId="7" fillId="11" borderId="20" xfId="0" applyNumberFormat="1" applyFont="1" applyFill="1" applyBorder="1" applyAlignment="1">
      <alignment horizontal="center" vertical="center" wrapText="1"/>
    </xf>
    <xf numFmtId="0" fontId="7" fillId="11" borderId="20" xfId="0" applyFont="1" applyFill="1" applyBorder="1" applyAlignment="1">
      <alignment horizontal="center" vertical="center"/>
    </xf>
    <xf numFmtId="0" fontId="8" fillId="12" borderId="19" xfId="0" applyFont="1" applyFill="1" applyBorder="1" applyAlignment="1">
      <alignment horizontal="center" vertical="center"/>
    </xf>
    <xf numFmtId="0" fontId="8" fillId="13" borderId="19" xfId="0" applyFont="1" applyFill="1" applyBorder="1" applyAlignment="1">
      <alignment horizontal="center" vertical="center"/>
    </xf>
    <xf numFmtId="0" fontId="8" fillId="14" borderId="19" xfId="0" applyFont="1" applyFill="1" applyBorder="1" applyAlignment="1">
      <alignment horizontal="center" vertical="center"/>
    </xf>
    <xf numFmtId="0" fontId="8" fillId="15" borderId="19" xfId="0" applyFont="1" applyFill="1" applyBorder="1" applyAlignment="1">
      <alignment horizontal="center" vertical="center"/>
    </xf>
    <xf numFmtId="0" fontId="8" fillId="15" borderId="34" xfId="0" applyFont="1" applyFill="1" applyBorder="1" applyAlignment="1">
      <alignment horizontal="center" vertical="center"/>
    </xf>
    <xf numFmtId="0" fontId="5" fillId="2" borderId="0" xfId="0" applyFont="1" applyFill="1" applyAlignment="1">
      <alignment vertical="top" wrapText="1" readingOrder="1"/>
    </xf>
    <xf numFmtId="0" fontId="2" fillId="2" borderId="0" xfId="0" applyFont="1" applyFill="1" applyAlignment="1">
      <alignment vertical="top" wrapText="1" readingOrder="1"/>
    </xf>
    <xf numFmtId="0" fontId="5" fillId="16" borderId="0" xfId="0" applyFont="1" applyFill="1" applyAlignment="1">
      <alignment vertical="top" wrapText="1" readingOrder="1"/>
    </xf>
    <xf numFmtId="0" fontId="5" fillId="16" borderId="0" xfId="0" applyFont="1" applyFill="1" applyAlignment="1">
      <alignment vertical="center" wrapText="1" readingOrder="1"/>
    </xf>
    <xf numFmtId="0" fontId="20" fillId="16" borderId="0" xfId="0" applyFont="1" applyFill="1" applyAlignment="1">
      <alignment horizontal="left" vertical="center" indent="2"/>
    </xf>
    <xf numFmtId="0" fontId="19" fillId="16" borderId="0" xfId="0" applyFont="1" applyFill="1" applyAlignment="1">
      <alignment horizontal="left" vertical="center" indent="2"/>
    </xf>
    <xf numFmtId="0" fontId="17" fillId="5" borderId="0" xfId="2" applyNumberFormat="1" applyFont="1" applyFill="1" applyBorder="1" applyAlignment="1">
      <alignment horizontal="center" vertical="center" wrapText="1" readingOrder="1"/>
    </xf>
    <xf numFmtId="0" fontId="0" fillId="2" borderId="0" xfId="0" applyFill="1" applyAlignment="1">
      <alignment horizontal="center"/>
    </xf>
    <xf numFmtId="0" fontId="7" fillId="5" borderId="9" xfId="0" applyFont="1" applyFill="1" applyBorder="1" applyAlignment="1">
      <alignment horizontal="center" vertical="center" wrapText="1"/>
    </xf>
    <xf numFmtId="0" fontId="7" fillId="5" borderId="10" xfId="0" applyFont="1" applyFill="1" applyBorder="1" applyAlignment="1">
      <alignment horizontal="center" vertical="center" wrapText="1"/>
    </xf>
    <xf numFmtId="0" fontId="15" fillId="0" borderId="32" xfId="0" applyFont="1" applyBorder="1" applyAlignment="1">
      <alignment horizontal="left" vertical="center" wrapText="1" indent="2"/>
    </xf>
    <xf numFmtId="0" fontId="15" fillId="0" borderId="33" xfId="0" applyFont="1" applyBorder="1" applyAlignment="1">
      <alignment horizontal="left" vertical="center" wrapText="1" indent="2"/>
    </xf>
    <xf numFmtId="0" fontId="15" fillId="0" borderId="35" xfId="0" applyFont="1" applyBorder="1" applyAlignment="1">
      <alignment horizontal="left" vertical="center" wrapText="1" indent="2"/>
    </xf>
    <xf numFmtId="0" fontId="15" fillId="0" borderId="36" xfId="0" applyFont="1" applyBorder="1" applyAlignment="1">
      <alignment horizontal="left" vertical="center" wrapText="1" indent="2"/>
    </xf>
    <xf numFmtId="0" fontId="7" fillId="5" borderId="19" xfId="0" applyFont="1" applyFill="1" applyBorder="1" applyAlignment="1">
      <alignment horizontal="center" vertical="center" wrapText="1"/>
    </xf>
    <xf numFmtId="0" fontId="7" fillId="5" borderId="13" xfId="0" applyFont="1" applyFill="1" applyBorder="1" applyAlignment="1">
      <alignment horizontal="center" vertical="center" wrapText="1"/>
    </xf>
    <xf numFmtId="0" fontId="15" fillId="0" borderId="31" xfId="0" applyFont="1" applyBorder="1" applyAlignment="1">
      <alignment horizontal="left" vertical="center" wrapText="1" indent="2"/>
    </xf>
    <xf numFmtId="0" fontId="15" fillId="0" borderId="28" xfId="0" applyFont="1" applyBorder="1" applyAlignment="1">
      <alignment horizontal="left" vertical="center" wrapText="1" indent="2"/>
    </xf>
    <xf numFmtId="0" fontId="15" fillId="0" borderId="14" xfId="0" applyFont="1" applyBorder="1" applyAlignment="1">
      <alignment horizontal="left" vertical="center" wrapText="1" indent="2"/>
    </xf>
    <xf numFmtId="0" fontId="15" fillId="0" borderId="23" xfId="0" applyFont="1" applyBorder="1" applyAlignment="1">
      <alignment horizontal="left" vertical="center" wrapText="1" indent="2"/>
    </xf>
    <xf numFmtId="0" fontId="12" fillId="10" borderId="37" xfId="2" applyNumberFormat="1" applyFont="1" applyFill="1" applyBorder="1" applyAlignment="1" applyProtection="1">
      <alignment horizontal="center" vertical="center" wrapText="1" readingOrder="1"/>
    </xf>
    <xf numFmtId="49" fontId="13" fillId="8" borderId="16" xfId="0" applyNumberFormat="1" applyFont="1" applyFill="1" applyBorder="1" applyAlignment="1">
      <alignment horizontal="right" vertical="center" wrapText="1"/>
    </xf>
    <xf numFmtId="49" fontId="13" fillId="8" borderId="17" xfId="0" applyNumberFormat="1" applyFont="1" applyFill="1" applyBorder="1" applyAlignment="1">
      <alignment horizontal="right" vertical="center" wrapText="1"/>
    </xf>
    <xf numFmtId="49" fontId="13" fillId="8" borderId="19" xfId="0" applyNumberFormat="1" applyFont="1" applyFill="1" applyBorder="1" applyAlignment="1">
      <alignment horizontal="right" vertical="center" wrapText="1"/>
    </xf>
    <xf numFmtId="49" fontId="13" fillId="8" borderId="13" xfId="0" applyNumberFormat="1" applyFont="1" applyFill="1" applyBorder="1" applyAlignment="1">
      <alignment horizontal="right" vertical="center" wrapText="1"/>
    </xf>
    <xf numFmtId="49" fontId="14" fillId="9" borderId="17" xfId="0" applyNumberFormat="1" applyFont="1" applyFill="1" applyBorder="1" applyAlignment="1" applyProtection="1">
      <alignment horizontal="left" vertical="center" wrapText="1"/>
      <protection locked="0"/>
    </xf>
    <xf numFmtId="49" fontId="14" fillId="9" borderId="18" xfId="0" applyNumberFormat="1" applyFont="1" applyFill="1" applyBorder="1" applyAlignment="1" applyProtection="1">
      <alignment horizontal="left" vertical="center" wrapText="1"/>
      <protection locked="0"/>
    </xf>
    <xf numFmtId="49" fontId="14" fillId="9" borderId="13" xfId="0" applyNumberFormat="1" applyFont="1" applyFill="1" applyBorder="1" applyAlignment="1" applyProtection="1">
      <alignment horizontal="left" vertical="center" wrapText="1"/>
      <protection locked="0"/>
    </xf>
    <xf numFmtId="49" fontId="14" fillId="9" borderId="20" xfId="0" applyNumberFormat="1" applyFont="1" applyFill="1" applyBorder="1" applyAlignment="1" applyProtection="1">
      <alignment horizontal="left" vertical="center" wrapText="1"/>
      <protection locked="0"/>
    </xf>
    <xf numFmtId="0" fontId="7" fillId="10" borderId="19" xfId="0" applyFont="1" applyFill="1" applyBorder="1" applyAlignment="1">
      <alignment horizontal="center" vertical="center"/>
    </xf>
    <xf numFmtId="0" fontId="7" fillId="10" borderId="13" xfId="0" applyFont="1" applyFill="1" applyBorder="1" applyAlignment="1">
      <alignment horizontal="center" vertical="center"/>
    </xf>
    <xf numFmtId="49" fontId="14" fillId="9" borderId="21" xfId="0" applyNumberFormat="1" applyFont="1" applyFill="1" applyBorder="1" applyAlignment="1" applyProtection="1">
      <alignment horizontal="center" vertical="center" wrapText="1"/>
      <protection locked="0"/>
    </xf>
    <xf numFmtId="49" fontId="14" fillId="9" borderId="22" xfId="0" applyNumberFormat="1" applyFont="1" applyFill="1" applyBorder="1" applyAlignment="1" applyProtection="1">
      <alignment horizontal="center" vertical="center" wrapText="1"/>
      <protection locked="0"/>
    </xf>
    <xf numFmtId="0" fontId="15" fillId="0" borderId="26" xfId="0" applyFont="1" applyBorder="1" applyAlignment="1">
      <alignment horizontal="left" vertical="center" wrapText="1" indent="2"/>
    </xf>
    <xf numFmtId="0" fontId="15" fillId="0" borderId="25" xfId="0" applyFont="1" applyBorder="1" applyAlignment="1">
      <alignment horizontal="left" vertical="center" wrapText="1" indent="2"/>
    </xf>
    <xf numFmtId="0" fontId="15" fillId="0" borderId="24" xfId="0" applyFont="1" applyBorder="1" applyAlignment="1">
      <alignment horizontal="left" vertical="center" wrapText="1" indent="2"/>
    </xf>
    <xf numFmtId="0" fontId="15" fillId="0" borderId="27" xfId="0" applyFont="1" applyBorder="1" applyAlignment="1">
      <alignment horizontal="left" vertical="center" wrapText="1" indent="2"/>
    </xf>
    <xf numFmtId="0" fontId="15" fillId="0" borderId="29" xfId="0" applyFont="1" applyBorder="1" applyAlignment="1">
      <alignment horizontal="left" vertical="center" wrapText="1" indent="2"/>
    </xf>
    <xf numFmtId="0" fontId="15" fillId="0" borderId="30" xfId="0" applyFont="1" applyBorder="1" applyAlignment="1">
      <alignment horizontal="left" vertical="center" wrapText="1" indent="2"/>
    </xf>
    <xf numFmtId="0" fontId="16" fillId="0" borderId="0" xfId="0" applyFont="1" applyFill="1" applyAlignment="1">
      <alignment horizontal="left" vertical="center" wrapText="1" indent="1"/>
    </xf>
    <xf numFmtId="0" fontId="21" fillId="0" borderId="0" xfId="0" applyFont="1" applyFill="1" applyAlignment="1">
      <alignment horizontal="left" vertical="center" wrapText="1" indent="1"/>
    </xf>
  </cellXfs>
  <cellStyles count="3">
    <cellStyle name="Hipervínculo" xfId="2" builtinId="8"/>
    <cellStyle name="Normal" xfId="0" builtinId="0"/>
    <cellStyle name="Normal 2" xfId="1" xr:uid="{00000000-0005-0000-0000-000001000000}"/>
  </cellStyles>
  <dxfs count="57">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
      <font>
        <condense val="0"/>
        <extend val="0"/>
        <color indexed="9"/>
      </font>
      <fill>
        <patternFill>
          <bgColor indexed="57"/>
        </patternFill>
      </fill>
    </dxf>
    <dxf>
      <font>
        <condense val="0"/>
        <extend val="0"/>
        <color indexed="8"/>
      </font>
      <fill>
        <patternFill>
          <bgColor indexed="13"/>
        </patternFill>
      </fill>
    </dxf>
    <dxf>
      <font>
        <condense val="0"/>
        <extend val="0"/>
        <color indexed="9"/>
      </font>
      <fill>
        <patternFill>
          <bgColor indexed="10"/>
        </patternFill>
      </fill>
    </dxf>
  </dxfs>
  <tableStyles count="0" defaultTableStyle="TableStyleMedium2" defaultPivotStyle="PivotStyleLight16"/>
  <colors>
    <mruColors>
      <color rgb="FFE7F6FF"/>
      <color rgb="FF3176C9"/>
      <color rgb="FF4987D3"/>
      <color rgb="FFC1E0FF"/>
      <color rgb="FF99CCFF"/>
      <color rgb="FFCCE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59470</xdr:rowOff>
    </xdr:from>
    <xdr:to>
      <xdr:col>1</xdr:col>
      <xdr:colOff>20748</xdr:colOff>
      <xdr:row>1</xdr:row>
      <xdr:rowOff>2335116</xdr:rowOff>
    </xdr:to>
    <xdr:pic>
      <xdr:nvPicPr>
        <xdr:cNvPr id="4" name="Imagen 3">
          <a:extLst>
            <a:ext uri="{FF2B5EF4-FFF2-40B4-BE49-F238E27FC236}">
              <a16:creationId xmlns:a16="http://schemas.microsoft.com/office/drawing/2014/main" id="{92997BDF-09A2-C004-62DC-A93284A319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59470"/>
          <a:ext cx="2200068" cy="28490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212912</xdr:colOff>
      <xdr:row>99</xdr:row>
      <xdr:rowOff>156882</xdr:rowOff>
    </xdr:from>
    <xdr:to>
      <xdr:col>1</xdr:col>
      <xdr:colOff>630266</xdr:colOff>
      <xdr:row>99</xdr:row>
      <xdr:rowOff>426757</xdr:rowOff>
    </xdr:to>
    <xdr:pic>
      <xdr:nvPicPr>
        <xdr:cNvPr id="4" name="Imagen 3">
          <a:extLst>
            <a:ext uri="{FF2B5EF4-FFF2-40B4-BE49-F238E27FC236}">
              <a16:creationId xmlns:a16="http://schemas.microsoft.com/office/drawing/2014/main" id="{A8CDEDE4-2987-421F-9A62-618F06C580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2912" y="53059853"/>
          <a:ext cx="1403472" cy="269875"/>
        </a:xfrm>
        <a:prstGeom prst="rect">
          <a:avLst/>
        </a:prstGeom>
      </xdr:spPr>
    </xdr:pic>
    <xdr:clientData/>
  </xdr:twoCellAnchor>
</xdr:wsDr>
</file>

<file path=xl/theme/theme1.xml><?xml version="1.0" encoding="utf-8"?>
<a:theme xmlns:a="http://schemas.openxmlformats.org/drawingml/2006/main" name="Tema de Office">
  <a:themeElements>
    <a:clrScheme name="Innevo Colores">
      <a:dk1>
        <a:sysClr val="windowText" lastClr="000000"/>
      </a:dk1>
      <a:lt1>
        <a:sysClr val="window" lastClr="FFFFFF"/>
      </a:lt1>
      <a:dk2>
        <a:srgbClr val="002D74"/>
      </a:dk2>
      <a:lt2>
        <a:srgbClr val="E1EAF6"/>
      </a:lt2>
      <a:accent1>
        <a:srgbClr val="002D74"/>
      </a:accent1>
      <a:accent2>
        <a:srgbClr val="009ADE"/>
      </a:accent2>
      <a:accent3>
        <a:srgbClr val="6DAD38"/>
      </a:accent3>
      <a:accent4>
        <a:srgbClr val="93569E"/>
      </a:accent4>
      <a:accent5>
        <a:srgbClr val="559398"/>
      </a:accent5>
      <a:accent6>
        <a:srgbClr val="EE754D"/>
      </a:accent6>
      <a:hlink>
        <a:srgbClr val="009ADE"/>
      </a:hlink>
      <a:folHlink>
        <a:srgbClr val="008AC8"/>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innevo.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innevo.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33"/>
  <sheetViews>
    <sheetView tabSelected="1" zoomScaleNormal="100" workbookViewId="0">
      <selection activeCell="B2" sqref="B2"/>
    </sheetView>
  </sheetViews>
  <sheetFormatPr baseColWidth="10" defaultColWidth="11.42578125" defaultRowHeight="15" x14ac:dyDescent="0.2"/>
  <cols>
    <col min="1" max="1" width="32.7109375" style="8" customWidth="1"/>
    <col min="2" max="2" width="156" style="12" customWidth="1"/>
    <col min="3" max="16384" width="11.42578125" style="8"/>
  </cols>
  <sheetData>
    <row r="1" spans="1:2" ht="45" customHeight="1" x14ac:dyDescent="0.2">
      <c r="A1" s="60"/>
      <c r="B1" s="92" t="s">
        <v>0</v>
      </c>
    </row>
    <row r="2" spans="1:2" ht="193.15" customHeight="1" x14ac:dyDescent="0.2">
      <c r="A2" s="60"/>
      <c r="B2" s="93" t="s">
        <v>1</v>
      </c>
    </row>
    <row r="3" spans="1:2" ht="35.1" customHeight="1" x14ac:dyDescent="0.2">
      <c r="A3" s="59" t="s">
        <v>2</v>
      </c>
      <c r="B3" s="59"/>
    </row>
    <row r="4" spans="1:2" ht="7.9" customHeight="1" x14ac:dyDescent="0.2">
      <c r="B4" s="53"/>
    </row>
    <row r="5" spans="1:2" ht="28.9" customHeight="1" x14ac:dyDescent="0.2">
      <c r="A5" s="58" t="s">
        <v>383</v>
      </c>
      <c r="B5" s="55"/>
    </row>
    <row r="6" spans="1:2" ht="18" x14ac:dyDescent="0.2">
      <c r="A6" s="57" t="s">
        <v>384</v>
      </c>
      <c r="B6" s="55"/>
    </row>
    <row r="7" spans="1:2" ht="18" x14ac:dyDescent="0.2">
      <c r="A7" s="57" t="s">
        <v>385</v>
      </c>
      <c r="B7" s="55"/>
    </row>
    <row r="8" spans="1:2" ht="18" x14ac:dyDescent="0.2">
      <c r="A8" s="57" t="s">
        <v>386</v>
      </c>
      <c r="B8" s="55"/>
    </row>
    <row r="9" spans="1:2" ht="18" x14ac:dyDescent="0.2">
      <c r="A9" s="57" t="s">
        <v>387</v>
      </c>
      <c r="B9" s="55"/>
    </row>
    <row r="10" spans="1:2" ht="19.899999999999999" customHeight="1" x14ac:dyDescent="0.2">
      <c r="A10" s="57" t="s">
        <v>388</v>
      </c>
      <c r="B10" s="56"/>
    </row>
    <row r="11" spans="1:2" ht="18" x14ac:dyDescent="0.2">
      <c r="B11" s="53"/>
    </row>
    <row r="12" spans="1:2" ht="18" x14ac:dyDescent="0.2">
      <c r="B12" s="53"/>
    </row>
    <row r="13" spans="1:2" ht="18" x14ac:dyDescent="0.2">
      <c r="B13" s="53"/>
    </row>
    <row r="14" spans="1:2" ht="18" x14ac:dyDescent="0.2">
      <c r="B14" s="53"/>
    </row>
    <row r="15" spans="1:2" ht="18" x14ac:dyDescent="0.2">
      <c r="B15" s="53"/>
    </row>
    <row r="16" spans="1:2" ht="18" x14ac:dyDescent="0.2">
      <c r="B16" s="53"/>
    </row>
    <row r="17" spans="2:2" ht="18" x14ac:dyDescent="0.2">
      <c r="B17" s="53"/>
    </row>
    <row r="18" spans="2:2" ht="18" x14ac:dyDescent="0.2">
      <c r="B18" s="53"/>
    </row>
    <row r="19" spans="2:2" ht="18" x14ac:dyDescent="0.2">
      <c r="B19" s="53"/>
    </row>
    <row r="20" spans="2:2" ht="18" x14ac:dyDescent="0.2">
      <c r="B20" s="53"/>
    </row>
    <row r="21" spans="2:2" ht="18" x14ac:dyDescent="0.2">
      <c r="B21" s="53"/>
    </row>
    <row r="22" spans="2:2" ht="18" x14ac:dyDescent="0.2">
      <c r="B22" s="53"/>
    </row>
    <row r="23" spans="2:2" ht="18" x14ac:dyDescent="0.2">
      <c r="B23" s="53"/>
    </row>
    <row r="24" spans="2:2" ht="18" x14ac:dyDescent="0.2">
      <c r="B24" s="53"/>
    </row>
    <row r="25" spans="2:2" ht="18" x14ac:dyDescent="0.2">
      <c r="B25" s="53"/>
    </row>
    <row r="26" spans="2:2" ht="18" x14ac:dyDescent="0.2">
      <c r="B26" s="53"/>
    </row>
    <row r="27" spans="2:2" ht="18" x14ac:dyDescent="0.2">
      <c r="B27" s="53"/>
    </row>
    <row r="28" spans="2:2" ht="18" x14ac:dyDescent="0.2">
      <c r="B28" s="53"/>
    </row>
    <row r="29" spans="2:2" ht="18" x14ac:dyDescent="0.2">
      <c r="B29" s="53"/>
    </row>
    <row r="30" spans="2:2" ht="18" x14ac:dyDescent="0.2">
      <c r="B30" s="53"/>
    </row>
    <row r="31" spans="2:2" ht="18" x14ac:dyDescent="0.2">
      <c r="B31" s="53"/>
    </row>
    <row r="32" spans="2:2" ht="18" x14ac:dyDescent="0.2">
      <c r="B32" s="53"/>
    </row>
    <row r="33" spans="2:2" x14ac:dyDescent="0.2">
      <c r="B33" s="54"/>
    </row>
  </sheetData>
  <sheetProtection algorithmName="SHA-512" hashValue="28PaiE6ZPeJkPqbwFjcailwDy/10yeEm/XxY/U49sDJraw1yBaAkJh+Dru9moe9ljzSqrtwGIuUiLFLP0ejAmQ==" saltValue="ON/QfDR5rx1HXnlegJv2aQ==" spinCount="100000" sheet="1" objects="1" scenarios="1"/>
  <mergeCells count="2">
    <mergeCell ref="A3:B3"/>
    <mergeCell ref="A1:A2"/>
  </mergeCells>
  <phoneticPr fontId="1" type="noConversion"/>
  <hyperlinks>
    <hyperlink ref="A3" r:id="rId1" xr:uid="{9DE813BD-293F-403F-8338-6B0AB624410A}"/>
  </hyperlinks>
  <pageMargins left="0.75" right="0.75" top="1" bottom="1" header="0.5" footer="0.5"/>
  <pageSetup paperSize="9" scale="69" fitToHeight="0"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393"/>
  <sheetViews>
    <sheetView zoomScaleNormal="100" workbookViewId="0">
      <pane ySplit="1" topLeftCell="A2" activePane="bottomLeft" state="frozen"/>
      <selection pane="bottomLeft" activeCell="C3" sqref="C3"/>
    </sheetView>
  </sheetViews>
  <sheetFormatPr baseColWidth="10" defaultColWidth="30.28515625" defaultRowHeight="15" x14ac:dyDescent="0.2"/>
  <cols>
    <col min="1" max="1" width="8" style="1" customWidth="1"/>
    <col min="2" max="2" width="56.140625" style="1" customWidth="1"/>
    <col min="3" max="3" width="15.85546875" style="4" customWidth="1"/>
    <col min="4" max="4" width="84" style="4" customWidth="1"/>
    <col min="5" max="5" width="15.28515625" style="6" customWidth="1"/>
    <col min="6" max="6" width="16.5703125" style="2" customWidth="1"/>
    <col min="7" max="16384" width="30.28515625" style="2"/>
  </cols>
  <sheetData>
    <row r="1" spans="1:14" ht="32.25" thickBot="1" x14ac:dyDescent="0.25">
      <c r="A1" s="30" t="s">
        <v>3</v>
      </c>
      <c r="B1" s="30" t="s">
        <v>4</v>
      </c>
      <c r="C1" s="31" t="s">
        <v>5</v>
      </c>
      <c r="D1" s="31" t="s">
        <v>6</v>
      </c>
      <c r="E1" s="42" t="s">
        <v>7</v>
      </c>
      <c r="F1" s="13"/>
      <c r="G1" s="13"/>
      <c r="H1" s="13"/>
      <c r="I1" s="13"/>
      <c r="J1" s="13"/>
      <c r="K1" s="13"/>
      <c r="L1" s="13"/>
      <c r="M1" s="13"/>
      <c r="N1" s="13"/>
    </row>
    <row r="2" spans="1:14" s="3" customFormat="1" ht="24.95" customHeight="1" thickBot="1" x14ac:dyDescent="0.25">
      <c r="A2" s="61" t="s">
        <v>8</v>
      </c>
      <c r="B2" s="62"/>
      <c r="C2" s="62"/>
      <c r="D2" s="62"/>
      <c r="E2" s="44" t="e">
        <f>AVERAGE(E3:E11)</f>
        <v>#DIV/0!</v>
      </c>
      <c r="F2" s="14"/>
      <c r="G2" s="14"/>
      <c r="H2" s="14"/>
      <c r="I2" s="14"/>
      <c r="J2" s="14"/>
      <c r="K2" s="14"/>
      <c r="L2" s="14"/>
      <c r="M2" s="14"/>
      <c r="N2" s="14"/>
    </row>
    <row r="3" spans="1:14" ht="60" customHeight="1" thickBot="1" x14ac:dyDescent="0.25">
      <c r="A3" s="32" t="s">
        <v>9</v>
      </c>
      <c r="B3" s="33" t="s">
        <v>10</v>
      </c>
      <c r="C3" s="34"/>
      <c r="D3" s="35"/>
      <c r="E3" s="43" t="str">
        <f>IF(C3="","",(VLOOKUP(C3,'CRITERIOS DE CALIFICACIÓN'!$B$2:$C$11,2,FALSE)))</f>
        <v/>
      </c>
      <c r="F3" s="15"/>
      <c r="G3" s="15"/>
      <c r="H3" s="15"/>
      <c r="I3" s="15"/>
      <c r="J3" s="15"/>
      <c r="K3" s="15"/>
      <c r="L3" s="15"/>
      <c r="M3" s="15"/>
      <c r="N3" s="15"/>
    </row>
    <row r="4" spans="1:14" ht="80.099999999999994" customHeight="1" thickBot="1" x14ac:dyDescent="0.25">
      <c r="A4" s="37" t="s">
        <v>11</v>
      </c>
      <c r="B4" s="38" t="s">
        <v>12</v>
      </c>
      <c r="C4" s="39"/>
      <c r="D4" s="40"/>
      <c r="E4" s="41" t="str">
        <f>IF(C4="","",(VLOOKUP(C4,'CRITERIOS DE CALIFICACIÓN'!$B$2:$C$11,2,FALSE)))</f>
        <v/>
      </c>
      <c r="F4" s="16"/>
      <c r="G4" s="15"/>
      <c r="H4" s="15"/>
      <c r="I4" s="15"/>
      <c r="J4" s="15"/>
      <c r="K4" s="15"/>
      <c r="L4" s="15"/>
      <c r="M4" s="15"/>
      <c r="N4" s="15"/>
    </row>
    <row r="5" spans="1:14" ht="60" customHeight="1" thickBot="1" x14ac:dyDescent="0.25">
      <c r="A5" s="32" t="s">
        <v>13</v>
      </c>
      <c r="B5" s="33" t="s">
        <v>14</v>
      </c>
      <c r="C5" s="34"/>
      <c r="D5" s="35"/>
      <c r="E5" s="36" t="str">
        <f>IF(C5="","",(VLOOKUP(C5,'CRITERIOS DE CALIFICACIÓN'!$B$2:$C$11,2,FALSE)))</f>
        <v/>
      </c>
      <c r="F5" s="15"/>
      <c r="G5" s="15"/>
      <c r="H5" s="15"/>
      <c r="I5" s="15"/>
      <c r="J5" s="15"/>
      <c r="K5" s="15"/>
      <c r="L5" s="15"/>
      <c r="M5" s="15"/>
      <c r="N5" s="15"/>
    </row>
    <row r="6" spans="1:14" ht="51.75" customHeight="1" thickBot="1" x14ac:dyDescent="0.25">
      <c r="A6" s="37" t="s">
        <v>15</v>
      </c>
      <c r="B6" s="38" t="s">
        <v>16</v>
      </c>
      <c r="C6" s="39"/>
      <c r="D6" s="40"/>
      <c r="E6" s="41" t="str">
        <f>IF(C6="","",(VLOOKUP(C6,'CRITERIOS DE CALIFICACIÓN'!$B$2:$C$11,2,FALSE)))</f>
        <v/>
      </c>
      <c r="F6" s="15"/>
      <c r="G6" s="15"/>
      <c r="H6" s="15"/>
      <c r="I6" s="15"/>
      <c r="J6" s="15"/>
      <c r="K6" s="15"/>
      <c r="L6" s="15"/>
      <c r="M6" s="15"/>
      <c r="N6" s="15"/>
    </row>
    <row r="7" spans="1:14" ht="60" customHeight="1" thickBot="1" x14ac:dyDescent="0.25">
      <c r="A7" s="32" t="s">
        <v>17</v>
      </c>
      <c r="B7" s="33" t="s">
        <v>18</v>
      </c>
      <c r="C7" s="34"/>
      <c r="D7" s="35"/>
      <c r="E7" s="36" t="str">
        <f>IF(C7="","",(VLOOKUP(C7,'CRITERIOS DE CALIFICACIÓN'!$B$2:$C$11,2,FALSE)))</f>
        <v/>
      </c>
      <c r="F7" s="15"/>
      <c r="G7" s="15"/>
      <c r="H7" s="15"/>
      <c r="I7" s="15"/>
      <c r="J7" s="15"/>
      <c r="K7" s="15"/>
      <c r="L7" s="15"/>
      <c r="M7" s="15"/>
      <c r="N7" s="15"/>
    </row>
    <row r="8" spans="1:14" ht="60" customHeight="1" thickBot="1" x14ac:dyDescent="0.25">
      <c r="A8" s="37" t="s">
        <v>19</v>
      </c>
      <c r="B8" s="38" t="s">
        <v>20</v>
      </c>
      <c r="C8" s="39"/>
      <c r="D8" s="40"/>
      <c r="E8" s="41" t="str">
        <f>IF(C8="","",(VLOOKUP(C8,'CRITERIOS DE CALIFICACIÓN'!$B$2:$C$11,2,FALSE)))</f>
        <v/>
      </c>
      <c r="F8" s="15"/>
      <c r="G8" s="15"/>
      <c r="H8" s="15"/>
      <c r="I8" s="15"/>
      <c r="J8" s="15"/>
      <c r="K8" s="15"/>
      <c r="L8" s="15"/>
      <c r="M8" s="15"/>
      <c r="N8" s="15"/>
    </row>
    <row r="9" spans="1:14" ht="60" customHeight="1" thickBot="1" x14ac:dyDescent="0.25">
      <c r="A9" s="32" t="s">
        <v>21</v>
      </c>
      <c r="B9" s="33" t="s">
        <v>22</v>
      </c>
      <c r="C9" s="34"/>
      <c r="D9" s="35"/>
      <c r="E9" s="36" t="str">
        <f>IF(C9="","",(VLOOKUP(C9,'CRITERIOS DE CALIFICACIÓN'!$B$2:$C$11,2,FALSE)))</f>
        <v/>
      </c>
      <c r="F9" s="15"/>
      <c r="G9" s="15"/>
      <c r="H9" s="15"/>
      <c r="I9" s="15"/>
      <c r="J9" s="15"/>
      <c r="K9" s="15"/>
      <c r="L9" s="15"/>
      <c r="M9" s="15"/>
      <c r="N9" s="15"/>
    </row>
    <row r="10" spans="1:14" ht="56.25" customHeight="1" thickBot="1" x14ac:dyDescent="0.25">
      <c r="A10" s="37" t="s">
        <v>23</v>
      </c>
      <c r="B10" s="38" t="s">
        <v>24</v>
      </c>
      <c r="C10" s="39"/>
      <c r="D10" s="40"/>
      <c r="E10" s="41" t="str">
        <f>IF(C10="","",(VLOOKUP(C10,'CRITERIOS DE CALIFICACIÓN'!$B$2:$C$11,2,FALSE)))</f>
        <v/>
      </c>
      <c r="F10" s="15"/>
      <c r="G10" s="15"/>
      <c r="H10" s="15"/>
      <c r="I10" s="15"/>
      <c r="J10" s="15"/>
      <c r="K10" s="15"/>
      <c r="L10" s="15"/>
      <c r="M10" s="15"/>
      <c r="N10" s="15"/>
    </row>
    <row r="11" spans="1:14" ht="80.099999999999994" customHeight="1" thickBot="1" x14ac:dyDescent="0.25">
      <c r="A11" s="32" t="s">
        <v>25</v>
      </c>
      <c r="B11" s="33" t="s">
        <v>26</v>
      </c>
      <c r="C11" s="34"/>
      <c r="D11" s="35"/>
      <c r="E11" s="36" t="str">
        <f>IF(C11="","",(VLOOKUP(C11,'CRITERIOS DE CALIFICACIÓN'!$B$2:$C$11,2,FALSE)))</f>
        <v/>
      </c>
      <c r="F11" s="15"/>
      <c r="G11" s="15"/>
      <c r="H11" s="15"/>
      <c r="I11" s="15"/>
      <c r="J11" s="15"/>
      <c r="K11" s="15"/>
      <c r="L11" s="15"/>
      <c r="M11" s="15"/>
      <c r="N11" s="15"/>
    </row>
    <row r="12" spans="1:14" s="3" customFormat="1" ht="24.95" customHeight="1" thickBot="1" x14ac:dyDescent="0.25">
      <c r="A12" s="61" t="s">
        <v>27</v>
      </c>
      <c r="B12" s="62"/>
      <c r="C12" s="62"/>
      <c r="D12" s="62"/>
      <c r="E12" s="44" t="e">
        <f>AVERAGE(E13:E21)</f>
        <v>#DIV/0!</v>
      </c>
      <c r="F12" s="14"/>
      <c r="G12" s="14"/>
      <c r="H12" s="14"/>
      <c r="I12" s="14"/>
      <c r="J12" s="14"/>
      <c r="K12" s="14"/>
      <c r="L12" s="14"/>
      <c r="M12" s="14"/>
      <c r="N12" s="14"/>
    </row>
    <row r="13" spans="1:14" ht="60" customHeight="1" thickBot="1" x14ac:dyDescent="0.25">
      <c r="A13" s="32" t="s">
        <v>28</v>
      </c>
      <c r="B13" s="33" t="s">
        <v>29</v>
      </c>
      <c r="C13" s="34"/>
      <c r="D13" s="35"/>
      <c r="E13" s="36" t="str">
        <f>IF(C13="","",(VLOOKUP(C13,'CRITERIOS DE CALIFICACIÓN'!$B$2:$C$11,2,FALSE)))</f>
        <v/>
      </c>
      <c r="F13" s="15"/>
      <c r="G13" s="15"/>
      <c r="H13" s="15"/>
      <c r="I13" s="15"/>
      <c r="J13" s="15"/>
      <c r="K13" s="15"/>
      <c r="L13" s="15"/>
      <c r="M13" s="15"/>
      <c r="N13" s="15"/>
    </row>
    <row r="14" spans="1:14" ht="60" customHeight="1" thickBot="1" x14ac:dyDescent="0.25">
      <c r="A14" s="37" t="s">
        <v>30</v>
      </c>
      <c r="B14" s="38" t="s">
        <v>31</v>
      </c>
      <c r="C14" s="39"/>
      <c r="D14" s="40"/>
      <c r="E14" s="41" t="str">
        <f>IF(C14="","",(VLOOKUP(C14,'CRITERIOS DE CALIFICACIÓN'!$B$2:$C$11,2,FALSE)))</f>
        <v/>
      </c>
      <c r="F14" s="15"/>
      <c r="G14" s="15"/>
      <c r="H14" s="15"/>
      <c r="I14" s="15"/>
      <c r="J14" s="15"/>
      <c r="K14" s="15"/>
      <c r="L14" s="15"/>
      <c r="M14" s="15"/>
      <c r="N14" s="15"/>
    </row>
    <row r="15" spans="1:14" ht="60" customHeight="1" thickBot="1" x14ac:dyDescent="0.25">
      <c r="A15" s="32" t="s">
        <v>32</v>
      </c>
      <c r="B15" s="33" t="s">
        <v>33</v>
      </c>
      <c r="C15" s="34"/>
      <c r="D15" s="35"/>
      <c r="E15" s="36" t="str">
        <f>IF(C15="","",(VLOOKUP(C15,'CRITERIOS DE CALIFICACIÓN'!$B$2:$C$11,2,FALSE)))</f>
        <v/>
      </c>
      <c r="F15" s="15"/>
      <c r="G15" s="15"/>
      <c r="H15" s="15"/>
      <c r="I15" s="15"/>
      <c r="J15" s="15"/>
      <c r="K15" s="15"/>
      <c r="L15" s="15"/>
      <c r="M15" s="15"/>
      <c r="N15" s="15"/>
    </row>
    <row r="16" spans="1:14" ht="80.099999999999994" customHeight="1" thickBot="1" x14ac:dyDescent="0.25">
      <c r="A16" s="37" t="s">
        <v>34</v>
      </c>
      <c r="B16" s="38" t="s">
        <v>35</v>
      </c>
      <c r="C16" s="39"/>
      <c r="D16" s="40"/>
      <c r="E16" s="41" t="str">
        <f>IF(C16="","",(VLOOKUP(C16,'CRITERIOS DE CALIFICACIÓN'!$B$2:$C$11,2,FALSE)))</f>
        <v/>
      </c>
      <c r="F16" s="15"/>
      <c r="G16" s="15"/>
      <c r="H16" s="15"/>
      <c r="I16" s="15"/>
      <c r="J16" s="15"/>
      <c r="K16" s="15"/>
      <c r="L16" s="15"/>
      <c r="M16" s="15"/>
      <c r="N16" s="15"/>
    </row>
    <row r="17" spans="1:14" ht="45.75" thickBot="1" x14ac:dyDescent="0.25">
      <c r="A17" s="32" t="s">
        <v>36</v>
      </c>
      <c r="B17" s="33" t="s">
        <v>37</v>
      </c>
      <c r="C17" s="34"/>
      <c r="D17" s="35"/>
      <c r="E17" s="36" t="str">
        <f>IF(C17="","",(VLOOKUP(C17,'CRITERIOS DE CALIFICACIÓN'!$B$2:$C$11,2,FALSE)))</f>
        <v/>
      </c>
      <c r="F17" s="15"/>
      <c r="G17" s="15"/>
      <c r="H17" s="15"/>
      <c r="I17" s="15"/>
      <c r="J17" s="15"/>
      <c r="K17" s="15"/>
      <c r="L17" s="15"/>
      <c r="M17" s="15"/>
      <c r="N17" s="15"/>
    </row>
    <row r="18" spans="1:14" ht="60" customHeight="1" thickBot="1" x14ac:dyDescent="0.25">
      <c r="A18" s="37" t="s">
        <v>38</v>
      </c>
      <c r="B18" s="38" t="s">
        <v>39</v>
      </c>
      <c r="C18" s="39"/>
      <c r="D18" s="40"/>
      <c r="E18" s="41" t="str">
        <f>IF(C18="","",(VLOOKUP(C18,'CRITERIOS DE CALIFICACIÓN'!$B$2:$C$11,2,FALSE)))</f>
        <v/>
      </c>
      <c r="F18" s="15"/>
      <c r="G18" s="15"/>
      <c r="H18" s="15"/>
      <c r="I18" s="15"/>
      <c r="J18" s="15"/>
      <c r="K18" s="15"/>
      <c r="L18" s="15"/>
      <c r="M18" s="15"/>
      <c r="N18" s="15"/>
    </row>
    <row r="19" spans="1:14" ht="39.950000000000003" customHeight="1" thickBot="1" x14ac:dyDescent="0.25">
      <c r="A19" s="32" t="s">
        <v>40</v>
      </c>
      <c r="B19" s="33" t="s">
        <v>41</v>
      </c>
      <c r="C19" s="34"/>
      <c r="D19" s="35"/>
      <c r="E19" s="36" t="str">
        <f>IF(C19="","",(VLOOKUP(C19,'CRITERIOS DE CALIFICACIÓN'!$B$2:$C$11,2,FALSE)))</f>
        <v/>
      </c>
      <c r="F19" s="15"/>
      <c r="G19" s="15"/>
      <c r="H19" s="15"/>
      <c r="I19" s="15"/>
      <c r="J19" s="15"/>
      <c r="K19" s="15"/>
      <c r="L19" s="15"/>
      <c r="M19" s="15"/>
      <c r="N19" s="15"/>
    </row>
    <row r="20" spans="1:14" ht="60" customHeight="1" thickBot="1" x14ac:dyDescent="0.25">
      <c r="A20" s="37" t="s">
        <v>42</v>
      </c>
      <c r="B20" s="38" t="s">
        <v>43</v>
      </c>
      <c r="C20" s="39"/>
      <c r="D20" s="40"/>
      <c r="E20" s="41" t="str">
        <f>IF(C20="","",(VLOOKUP(C20,'CRITERIOS DE CALIFICACIÓN'!$B$2:$C$11,2,FALSE)))</f>
        <v/>
      </c>
      <c r="F20" s="15"/>
      <c r="G20" s="15"/>
      <c r="H20" s="15"/>
      <c r="I20" s="15"/>
      <c r="J20" s="15"/>
      <c r="K20" s="15"/>
      <c r="L20" s="15"/>
      <c r="M20" s="15"/>
      <c r="N20" s="15"/>
    </row>
    <row r="21" spans="1:14" ht="120" customHeight="1" thickBot="1" x14ac:dyDescent="0.25">
      <c r="A21" s="32" t="s">
        <v>44</v>
      </c>
      <c r="B21" s="33" t="s">
        <v>45</v>
      </c>
      <c r="C21" s="34"/>
      <c r="D21" s="35"/>
      <c r="E21" s="36" t="str">
        <f>IF(C21="","",(VLOOKUP(C21,'CRITERIOS DE CALIFICACIÓN'!$B$2:$C$11,2,FALSE)))</f>
        <v/>
      </c>
      <c r="F21" s="15"/>
      <c r="G21" s="15"/>
      <c r="H21" s="15"/>
      <c r="I21" s="15"/>
      <c r="J21" s="15"/>
      <c r="K21" s="15"/>
      <c r="L21" s="15"/>
      <c r="M21" s="15"/>
      <c r="N21" s="15"/>
    </row>
    <row r="22" spans="1:14" s="3" customFormat="1" ht="34.5" customHeight="1" thickBot="1" x14ac:dyDescent="0.25">
      <c r="A22" s="61" t="s">
        <v>46</v>
      </c>
      <c r="B22" s="62"/>
      <c r="C22" s="62"/>
      <c r="D22" s="62"/>
      <c r="E22" s="44" t="e">
        <f>AVERAGE(E23:E27)</f>
        <v>#DIV/0!</v>
      </c>
      <c r="F22" s="14"/>
      <c r="G22" s="14"/>
      <c r="H22" s="14"/>
      <c r="I22" s="14"/>
      <c r="J22" s="14"/>
      <c r="K22" s="14"/>
      <c r="L22" s="14"/>
      <c r="M22" s="14"/>
      <c r="N22" s="14"/>
    </row>
    <row r="23" spans="1:14" ht="60" customHeight="1" thickBot="1" x14ac:dyDescent="0.25">
      <c r="A23" s="32" t="s">
        <v>47</v>
      </c>
      <c r="B23" s="33" t="s">
        <v>48</v>
      </c>
      <c r="C23" s="34"/>
      <c r="D23" s="35"/>
      <c r="E23" s="43" t="str">
        <f>IF(C23="","",(VLOOKUP(C23,'CRITERIOS DE CALIFICACIÓN'!$B$2:$C$11,2,FALSE)))</f>
        <v/>
      </c>
      <c r="F23" s="15"/>
      <c r="G23" s="15"/>
      <c r="H23" s="15"/>
      <c r="I23" s="15"/>
      <c r="J23" s="15"/>
      <c r="K23" s="15"/>
      <c r="L23" s="15"/>
      <c r="M23" s="15"/>
      <c r="N23" s="15"/>
    </row>
    <row r="24" spans="1:14" ht="60" customHeight="1" thickBot="1" x14ac:dyDescent="0.25">
      <c r="A24" s="37" t="s">
        <v>49</v>
      </c>
      <c r="B24" s="38" t="s">
        <v>50</v>
      </c>
      <c r="C24" s="39"/>
      <c r="D24" s="40"/>
      <c r="E24" s="41" t="str">
        <f>IF(C24="","",(VLOOKUP(C24,'CRITERIOS DE CALIFICACIÓN'!$B$2:$C$11,2,FALSE)))</f>
        <v/>
      </c>
      <c r="F24" s="15"/>
      <c r="G24" s="15"/>
      <c r="H24" s="15"/>
      <c r="I24" s="15"/>
      <c r="J24" s="15"/>
      <c r="K24" s="15"/>
      <c r="L24" s="15"/>
      <c r="M24" s="15"/>
      <c r="N24" s="15"/>
    </row>
    <row r="25" spans="1:14" ht="80.099999999999994" customHeight="1" thickBot="1" x14ac:dyDescent="0.25">
      <c r="A25" s="32" t="s">
        <v>51</v>
      </c>
      <c r="B25" s="33" t="s">
        <v>52</v>
      </c>
      <c r="C25" s="34"/>
      <c r="D25" s="35"/>
      <c r="E25" s="36" t="str">
        <f>IF(C25="","",(VLOOKUP(C25,'CRITERIOS DE CALIFICACIÓN'!$B$2:$C$11,2,FALSE)))</f>
        <v/>
      </c>
      <c r="F25" s="15"/>
      <c r="G25" s="15"/>
      <c r="H25" s="15"/>
      <c r="I25" s="15"/>
      <c r="J25" s="15"/>
      <c r="K25" s="15"/>
      <c r="L25" s="15"/>
      <c r="M25" s="15"/>
      <c r="N25" s="15"/>
    </row>
    <row r="26" spans="1:14" ht="60" customHeight="1" thickBot="1" x14ac:dyDescent="0.25">
      <c r="A26" s="37" t="s">
        <v>53</v>
      </c>
      <c r="B26" s="38" t="s">
        <v>54</v>
      </c>
      <c r="C26" s="39"/>
      <c r="D26" s="40"/>
      <c r="E26" s="41" t="str">
        <f>IF(C26="","",(VLOOKUP(C26,'CRITERIOS DE CALIFICACIÓN'!$B$2:$C$11,2,FALSE)))</f>
        <v/>
      </c>
      <c r="F26" s="15"/>
      <c r="G26" s="15"/>
      <c r="H26" s="15"/>
      <c r="I26" s="15"/>
      <c r="J26" s="15"/>
      <c r="K26" s="15"/>
      <c r="L26" s="15"/>
      <c r="M26" s="15"/>
      <c r="N26" s="15"/>
    </row>
    <row r="27" spans="1:14" ht="120" customHeight="1" thickBot="1" x14ac:dyDescent="0.25">
      <c r="A27" s="32" t="s">
        <v>55</v>
      </c>
      <c r="B27" s="33" t="s">
        <v>56</v>
      </c>
      <c r="C27" s="34"/>
      <c r="D27" s="35"/>
      <c r="E27" s="36" t="str">
        <f>IF(C27="","",(VLOOKUP(C27,'CRITERIOS DE CALIFICACIÓN'!$B$2:$C$11,2,FALSE)))</f>
        <v/>
      </c>
      <c r="F27" s="15"/>
      <c r="G27" s="15"/>
      <c r="H27" s="15"/>
      <c r="I27" s="15"/>
      <c r="J27" s="15"/>
      <c r="K27" s="15"/>
      <c r="L27" s="15"/>
      <c r="M27" s="15"/>
      <c r="N27" s="15"/>
    </row>
    <row r="28" spans="1:14" s="3" customFormat="1" ht="24.95" customHeight="1" thickBot="1" x14ac:dyDescent="0.25">
      <c r="A28" s="61" t="s">
        <v>57</v>
      </c>
      <c r="B28" s="62"/>
      <c r="C28" s="62"/>
      <c r="D28" s="62"/>
      <c r="E28" s="44" t="e">
        <f>AVERAGE(E29:E36)</f>
        <v>#DIV/0!</v>
      </c>
      <c r="F28" s="14"/>
      <c r="G28" s="14"/>
      <c r="H28" s="14"/>
      <c r="I28" s="14"/>
      <c r="J28" s="14"/>
      <c r="K28" s="14"/>
      <c r="L28" s="14"/>
      <c r="M28" s="14"/>
      <c r="N28" s="14"/>
    </row>
    <row r="29" spans="1:14" ht="60" customHeight="1" thickBot="1" x14ac:dyDescent="0.25">
      <c r="A29" s="32" t="s">
        <v>58</v>
      </c>
      <c r="B29" s="33" t="s">
        <v>59</v>
      </c>
      <c r="C29" s="34"/>
      <c r="D29" s="35"/>
      <c r="E29" s="43" t="str">
        <f>IF(C29="","",(VLOOKUP(C29,'CRITERIOS DE CALIFICACIÓN'!$B$2:$C$11,2,FALSE)))</f>
        <v/>
      </c>
      <c r="F29" s="15"/>
      <c r="G29" s="15"/>
      <c r="H29" s="15"/>
      <c r="I29" s="15"/>
      <c r="J29" s="15"/>
      <c r="K29" s="15"/>
      <c r="L29" s="15"/>
      <c r="M29" s="15"/>
      <c r="N29" s="15"/>
    </row>
    <row r="30" spans="1:14" ht="66.75" customHeight="1" thickBot="1" x14ac:dyDescent="0.25">
      <c r="A30" s="37" t="s">
        <v>60</v>
      </c>
      <c r="B30" s="38" t="s">
        <v>61</v>
      </c>
      <c r="C30" s="39"/>
      <c r="D30" s="40"/>
      <c r="E30" s="41" t="str">
        <f>IF(C30="","",(VLOOKUP(C30,'CRITERIOS DE CALIFICACIÓN'!$B$2:$C$11,2,FALSE)))</f>
        <v/>
      </c>
      <c r="F30" s="15"/>
      <c r="G30" s="15"/>
      <c r="H30" s="15"/>
      <c r="I30" s="15"/>
      <c r="J30" s="15"/>
      <c r="K30" s="15"/>
      <c r="L30" s="15"/>
      <c r="M30" s="15"/>
      <c r="N30" s="15"/>
    </row>
    <row r="31" spans="1:14" ht="93" customHeight="1" thickBot="1" x14ac:dyDescent="0.25">
      <c r="A31" s="32" t="s">
        <v>62</v>
      </c>
      <c r="B31" s="33" t="s">
        <v>63</v>
      </c>
      <c r="C31" s="34"/>
      <c r="D31" s="35"/>
      <c r="E31" s="36" t="str">
        <f>IF(C31="","",(VLOOKUP(C31,'CRITERIOS DE CALIFICACIÓN'!$B$2:$C$11,2,FALSE)))</f>
        <v/>
      </c>
      <c r="F31" s="15"/>
      <c r="G31" s="15"/>
      <c r="H31" s="15"/>
      <c r="I31" s="15"/>
      <c r="J31" s="15"/>
      <c r="K31" s="15"/>
      <c r="L31" s="15"/>
      <c r="M31" s="15"/>
      <c r="N31" s="15"/>
    </row>
    <row r="32" spans="1:14" ht="80.099999999999994" customHeight="1" thickBot="1" x14ac:dyDescent="0.25">
      <c r="A32" s="37" t="s">
        <v>64</v>
      </c>
      <c r="B32" s="38" t="s">
        <v>65</v>
      </c>
      <c r="C32" s="39"/>
      <c r="D32" s="40"/>
      <c r="E32" s="41" t="str">
        <f>IF(C32="","",(VLOOKUP(C32,'CRITERIOS DE CALIFICACIÓN'!$B$2:$C$11,2,FALSE)))</f>
        <v/>
      </c>
      <c r="F32" s="15"/>
      <c r="G32" s="15"/>
      <c r="H32" s="15"/>
      <c r="I32" s="15"/>
      <c r="J32" s="15"/>
      <c r="K32" s="15"/>
      <c r="L32" s="15"/>
      <c r="M32" s="15"/>
      <c r="N32" s="15"/>
    </row>
    <row r="33" spans="1:14" ht="80.099999999999994" customHeight="1" thickBot="1" x14ac:dyDescent="0.25">
      <c r="A33" s="32" t="s">
        <v>66</v>
      </c>
      <c r="B33" s="33" t="s">
        <v>67</v>
      </c>
      <c r="C33" s="34"/>
      <c r="D33" s="35"/>
      <c r="E33" s="36" t="str">
        <f>IF(C33="","",(VLOOKUP(C33,'CRITERIOS DE CALIFICACIÓN'!$B$2:$C$11,2,FALSE)))</f>
        <v/>
      </c>
      <c r="F33" s="15"/>
      <c r="G33" s="15"/>
      <c r="H33" s="15"/>
      <c r="I33" s="15"/>
      <c r="J33" s="15"/>
      <c r="K33" s="15"/>
      <c r="L33" s="15"/>
      <c r="M33" s="15"/>
      <c r="N33" s="15"/>
    </row>
    <row r="34" spans="1:14" ht="60" customHeight="1" thickBot="1" x14ac:dyDescent="0.25">
      <c r="A34" s="37" t="s">
        <v>68</v>
      </c>
      <c r="B34" s="38" t="s">
        <v>69</v>
      </c>
      <c r="C34" s="39"/>
      <c r="D34" s="40"/>
      <c r="E34" s="41" t="str">
        <f>IF(C34="","",(VLOOKUP(C34,'CRITERIOS DE CALIFICACIÓN'!$B$2:$C$11,2,FALSE)))</f>
        <v/>
      </c>
      <c r="F34" s="15"/>
      <c r="G34" s="15"/>
      <c r="H34" s="15"/>
      <c r="I34" s="15"/>
      <c r="J34" s="15"/>
      <c r="K34" s="15"/>
      <c r="L34" s="15"/>
      <c r="M34" s="15"/>
      <c r="N34" s="15"/>
    </row>
    <row r="35" spans="1:14" ht="24.95" customHeight="1" thickBot="1" x14ac:dyDescent="0.25">
      <c r="A35" s="32" t="s">
        <v>70</v>
      </c>
      <c r="B35" s="33" t="s">
        <v>71</v>
      </c>
      <c r="C35" s="34"/>
      <c r="D35" s="35"/>
      <c r="E35" s="36" t="str">
        <f>IF(C35="","",(VLOOKUP(C35,'CRITERIOS DE CALIFICACIÓN'!$B$2:$C$11,2,FALSE)))</f>
        <v/>
      </c>
      <c r="F35" s="15"/>
      <c r="G35" s="15"/>
      <c r="H35" s="15"/>
      <c r="I35" s="15"/>
      <c r="J35" s="15"/>
      <c r="K35" s="15"/>
      <c r="L35" s="15"/>
      <c r="M35" s="15"/>
      <c r="N35" s="15"/>
    </row>
    <row r="36" spans="1:14" ht="71.25" customHeight="1" thickBot="1" x14ac:dyDescent="0.25">
      <c r="A36" s="37" t="s">
        <v>72</v>
      </c>
      <c r="B36" s="38" t="s">
        <v>73</v>
      </c>
      <c r="C36" s="39"/>
      <c r="D36" s="40"/>
      <c r="E36" s="41" t="str">
        <f>IF(C36="","",(VLOOKUP(C36,'CRITERIOS DE CALIFICACIÓN'!$B$2:$C$11,2,FALSE)))</f>
        <v/>
      </c>
      <c r="F36" s="15"/>
      <c r="G36" s="15"/>
      <c r="H36" s="15"/>
      <c r="I36" s="15"/>
      <c r="J36" s="15"/>
      <c r="K36" s="15"/>
      <c r="L36" s="15"/>
      <c r="M36" s="15"/>
      <c r="N36" s="15"/>
    </row>
    <row r="37" spans="1:14" s="3" customFormat="1" ht="50.1" customHeight="1" thickBot="1" x14ac:dyDescent="0.25">
      <c r="A37" s="61" t="s">
        <v>74</v>
      </c>
      <c r="B37" s="62"/>
      <c r="C37" s="62"/>
      <c r="D37" s="62"/>
      <c r="E37" s="44" t="e">
        <f>AVERAGE(E38:E43)</f>
        <v>#DIV/0!</v>
      </c>
      <c r="F37" s="14"/>
      <c r="G37" s="14"/>
      <c r="H37" s="14"/>
      <c r="I37" s="14"/>
      <c r="J37" s="14"/>
      <c r="K37" s="14"/>
      <c r="L37" s="14"/>
      <c r="M37" s="14"/>
      <c r="N37" s="14"/>
    </row>
    <row r="38" spans="1:14" ht="80.099999999999994" customHeight="1" thickBot="1" x14ac:dyDescent="0.25">
      <c r="A38" s="32" t="s">
        <v>75</v>
      </c>
      <c r="B38" s="33" t="s">
        <v>76</v>
      </c>
      <c r="C38" s="34"/>
      <c r="D38" s="35"/>
      <c r="E38" s="36" t="str">
        <f>IF(C38="","",(VLOOKUP(C38,'CRITERIOS DE CALIFICACIÓN'!$B$2:$C$11,2,FALSE)))</f>
        <v/>
      </c>
      <c r="F38" s="15"/>
      <c r="G38" s="15"/>
      <c r="H38" s="15"/>
      <c r="I38" s="15"/>
      <c r="J38" s="15"/>
      <c r="K38" s="15"/>
      <c r="L38" s="15"/>
      <c r="M38" s="15"/>
      <c r="N38" s="15"/>
    </row>
    <row r="39" spans="1:14" ht="39.950000000000003" customHeight="1" thickBot="1" x14ac:dyDescent="0.25">
      <c r="A39" s="37" t="s">
        <v>77</v>
      </c>
      <c r="B39" s="38" t="s">
        <v>78</v>
      </c>
      <c r="C39" s="39"/>
      <c r="D39" s="40"/>
      <c r="E39" s="41" t="str">
        <f>IF(C39="","",(VLOOKUP(C39,'CRITERIOS DE CALIFICACIÓN'!$B$2:$C$11,2,FALSE)))</f>
        <v/>
      </c>
      <c r="F39" s="15"/>
      <c r="G39" s="15"/>
      <c r="H39" s="15"/>
      <c r="I39" s="15"/>
      <c r="J39" s="15"/>
      <c r="K39" s="15"/>
      <c r="L39" s="15"/>
      <c r="M39" s="15"/>
      <c r="N39" s="15"/>
    </row>
    <row r="40" spans="1:14" ht="60" customHeight="1" thickBot="1" x14ac:dyDescent="0.25">
      <c r="A40" s="32" t="s">
        <v>79</v>
      </c>
      <c r="B40" s="33" t="s">
        <v>80</v>
      </c>
      <c r="C40" s="34"/>
      <c r="D40" s="35"/>
      <c r="E40" s="36" t="str">
        <f>IF(C40="","",(VLOOKUP(C40,'CRITERIOS DE CALIFICACIÓN'!$B$2:$C$11,2,FALSE)))</f>
        <v/>
      </c>
      <c r="F40" s="15"/>
      <c r="G40" s="15"/>
      <c r="H40" s="15"/>
      <c r="I40" s="15"/>
      <c r="J40" s="15"/>
      <c r="K40" s="15"/>
      <c r="L40" s="15"/>
      <c r="M40" s="15"/>
      <c r="N40" s="15"/>
    </row>
    <row r="41" spans="1:14" ht="80.099999999999994" customHeight="1" thickBot="1" x14ac:dyDescent="0.25">
      <c r="A41" s="37" t="s">
        <v>81</v>
      </c>
      <c r="B41" s="38" t="s">
        <v>82</v>
      </c>
      <c r="C41" s="39"/>
      <c r="D41" s="40"/>
      <c r="E41" s="41" t="str">
        <f>IF(C41="","",(VLOOKUP(C41,'CRITERIOS DE CALIFICACIÓN'!$B$2:$C$11,2,FALSE)))</f>
        <v/>
      </c>
      <c r="F41" s="15"/>
      <c r="G41" s="15"/>
      <c r="H41" s="15"/>
      <c r="I41" s="15"/>
      <c r="J41" s="15"/>
      <c r="K41" s="15"/>
      <c r="L41" s="15"/>
      <c r="M41" s="15"/>
      <c r="N41" s="15"/>
    </row>
    <row r="42" spans="1:14" ht="71.25" customHeight="1" thickBot="1" x14ac:dyDescent="0.25">
      <c r="A42" s="32" t="s">
        <v>83</v>
      </c>
      <c r="B42" s="33" t="s">
        <v>84</v>
      </c>
      <c r="C42" s="34"/>
      <c r="D42" s="35"/>
      <c r="E42" s="36" t="str">
        <f>IF(C42="","",(VLOOKUP(C42,'CRITERIOS DE CALIFICACIÓN'!$B$2:$C$11,2,FALSE)))</f>
        <v/>
      </c>
      <c r="F42" s="15"/>
      <c r="G42" s="15"/>
      <c r="H42" s="15"/>
      <c r="I42" s="15"/>
      <c r="J42" s="15"/>
      <c r="K42" s="15"/>
      <c r="L42" s="15"/>
      <c r="M42" s="15"/>
      <c r="N42" s="15"/>
    </row>
    <row r="43" spans="1:14" ht="54" customHeight="1" thickBot="1" x14ac:dyDescent="0.25">
      <c r="A43" s="37" t="s">
        <v>85</v>
      </c>
      <c r="B43" s="38" t="s">
        <v>86</v>
      </c>
      <c r="C43" s="39"/>
      <c r="D43" s="40"/>
      <c r="E43" s="41" t="str">
        <f>IF(C43="","",(VLOOKUP(C43,'CRITERIOS DE CALIFICACIÓN'!$B$2:$C$11,2,FALSE)))</f>
        <v/>
      </c>
      <c r="F43" s="15"/>
      <c r="G43" s="15"/>
      <c r="H43" s="15"/>
      <c r="I43" s="15"/>
      <c r="J43" s="15"/>
      <c r="K43" s="15"/>
      <c r="L43" s="15"/>
      <c r="M43" s="15"/>
      <c r="N43" s="15"/>
    </row>
    <row r="44" spans="1:14" s="3" customFormat="1" ht="24.95" customHeight="1" thickBot="1" x14ac:dyDescent="0.25">
      <c r="A44" s="61" t="s">
        <v>87</v>
      </c>
      <c r="B44" s="62"/>
      <c r="C44" s="62"/>
      <c r="D44" s="62"/>
      <c r="E44" s="44" t="e">
        <f>AVERAGE(E45:E50)</f>
        <v>#DIV/0!</v>
      </c>
      <c r="F44" s="14"/>
      <c r="G44" s="14"/>
      <c r="H44" s="14"/>
      <c r="I44" s="14"/>
      <c r="J44" s="14"/>
      <c r="K44" s="14"/>
      <c r="L44" s="14"/>
      <c r="M44" s="14"/>
      <c r="N44" s="14"/>
    </row>
    <row r="45" spans="1:14" ht="60" customHeight="1" thickBot="1" x14ac:dyDescent="0.25">
      <c r="A45" s="32" t="s">
        <v>88</v>
      </c>
      <c r="B45" s="33" t="s">
        <v>89</v>
      </c>
      <c r="C45" s="34"/>
      <c r="D45" s="35"/>
      <c r="E45" s="36" t="str">
        <f>IF(C45="","",(VLOOKUP(C45,'CRITERIOS DE CALIFICACIÓN'!$B$2:$C$11,2,FALSE)))</f>
        <v/>
      </c>
      <c r="F45" s="15"/>
      <c r="G45" s="15"/>
      <c r="H45" s="15"/>
      <c r="I45" s="15"/>
      <c r="J45" s="15"/>
      <c r="K45" s="15"/>
      <c r="L45" s="15"/>
      <c r="M45" s="15"/>
      <c r="N45" s="15"/>
    </row>
    <row r="46" spans="1:14" ht="39.950000000000003" customHeight="1" thickBot="1" x14ac:dyDescent="0.25">
      <c r="A46" s="37" t="s">
        <v>90</v>
      </c>
      <c r="B46" s="38" t="s">
        <v>91</v>
      </c>
      <c r="C46" s="39"/>
      <c r="D46" s="40"/>
      <c r="E46" s="41" t="str">
        <f>IF(C46="","",(VLOOKUP(C46,'CRITERIOS DE CALIFICACIÓN'!$B$2:$C$11,2,FALSE)))</f>
        <v/>
      </c>
      <c r="F46" s="15"/>
      <c r="G46" s="15"/>
      <c r="H46" s="15"/>
      <c r="I46" s="15"/>
      <c r="J46" s="15"/>
      <c r="K46" s="15"/>
      <c r="L46" s="15"/>
      <c r="M46" s="15"/>
      <c r="N46" s="15"/>
    </row>
    <row r="47" spans="1:14" ht="39.950000000000003" customHeight="1" thickBot="1" x14ac:dyDescent="0.25">
      <c r="A47" s="32" t="s">
        <v>92</v>
      </c>
      <c r="B47" s="33" t="s">
        <v>93</v>
      </c>
      <c r="C47" s="34"/>
      <c r="D47" s="35"/>
      <c r="E47" s="36" t="str">
        <f>IF(C47="","",(VLOOKUP(C47,'CRITERIOS DE CALIFICACIÓN'!$B$2:$C$11,2,FALSE)))</f>
        <v/>
      </c>
      <c r="F47" s="15"/>
      <c r="G47" s="15"/>
      <c r="H47" s="15"/>
      <c r="I47" s="15"/>
      <c r="J47" s="15"/>
      <c r="K47" s="15"/>
      <c r="L47" s="15"/>
      <c r="M47" s="15"/>
      <c r="N47" s="15"/>
    </row>
    <row r="48" spans="1:14" ht="39.950000000000003" customHeight="1" thickBot="1" x14ac:dyDescent="0.25">
      <c r="A48" s="37" t="s">
        <v>94</v>
      </c>
      <c r="B48" s="38" t="s">
        <v>95</v>
      </c>
      <c r="C48" s="39"/>
      <c r="D48" s="40"/>
      <c r="E48" s="41" t="str">
        <f>IF(C48="","",(VLOOKUP(C48,'CRITERIOS DE CALIFICACIÓN'!$B$2:$C$11,2,FALSE)))</f>
        <v/>
      </c>
      <c r="F48" s="15"/>
      <c r="G48" s="15"/>
      <c r="H48" s="15"/>
      <c r="I48" s="15"/>
      <c r="J48" s="15"/>
      <c r="K48" s="15"/>
      <c r="L48" s="15"/>
      <c r="M48" s="15"/>
      <c r="N48" s="15"/>
    </row>
    <row r="49" spans="1:14" ht="60" customHeight="1" thickBot="1" x14ac:dyDescent="0.25">
      <c r="A49" s="32" t="s">
        <v>96</v>
      </c>
      <c r="B49" s="33" t="s">
        <v>97</v>
      </c>
      <c r="C49" s="34"/>
      <c r="D49" s="35"/>
      <c r="E49" s="36" t="str">
        <f>IF(C49="","",(VLOOKUP(C49,'CRITERIOS DE CALIFICACIÓN'!$B$2:$C$11,2,FALSE)))</f>
        <v/>
      </c>
      <c r="F49" s="15"/>
      <c r="G49" s="15"/>
      <c r="H49" s="15"/>
      <c r="I49" s="15"/>
      <c r="J49" s="15"/>
      <c r="K49" s="15"/>
      <c r="L49" s="15"/>
      <c r="M49" s="15"/>
      <c r="N49" s="15"/>
    </row>
    <row r="50" spans="1:14" ht="87" customHeight="1" thickBot="1" x14ac:dyDescent="0.25">
      <c r="A50" s="37" t="s">
        <v>98</v>
      </c>
      <c r="B50" s="38" t="s">
        <v>99</v>
      </c>
      <c r="C50" s="39"/>
      <c r="D50" s="40"/>
      <c r="E50" s="41" t="str">
        <f>IF(C50="","",(VLOOKUP(C50,'CRITERIOS DE CALIFICACIÓN'!$B$2:$C$11,2,FALSE)))</f>
        <v/>
      </c>
      <c r="F50" s="15"/>
      <c r="G50" s="15"/>
      <c r="H50" s="15"/>
      <c r="I50" s="15"/>
      <c r="J50" s="15"/>
      <c r="K50" s="15"/>
      <c r="L50" s="15"/>
      <c r="M50" s="15"/>
      <c r="N50" s="15"/>
    </row>
    <row r="51" spans="1:14" s="3" customFormat="1" ht="24.95" customHeight="1" thickBot="1" x14ac:dyDescent="0.25">
      <c r="A51" s="61" t="s">
        <v>100</v>
      </c>
      <c r="B51" s="62"/>
      <c r="C51" s="62"/>
      <c r="D51" s="62"/>
      <c r="E51" s="44" t="e">
        <f>AVERAGE(E52:E58)</f>
        <v>#DIV/0!</v>
      </c>
      <c r="F51" s="14"/>
      <c r="G51" s="14"/>
      <c r="H51" s="14"/>
      <c r="I51" s="14"/>
      <c r="J51" s="14"/>
      <c r="K51" s="14"/>
      <c r="L51" s="14"/>
      <c r="M51" s="17"/>
      <c r="N51" s="17"/>
    </row>
    <row r="52" spans="1:14" ht="60" customHeight="1" thickBot="1" x14ac:dyDescent="0.25">
      <c r="A52" s="32" t="s">
        <v>101</v>
      </c>
      <c r="B52" s="33" t="s">
        <v>102</v>
      </c>
      <c r="C52" s="34"/>
      <c r="D52" s="35"/>
      <c r="E52" s="36" t="str">
        <f>IF(C52="","",(VLOOKUP(C52,'CRITERIOS DE CALIFICACIÓN'!$B$2:$C$11,2,FALSE)))</f>
        <v/>
      </c>
      <c r="F52" s="15"/>
      <c r="G52" s="15"/>
      <c r="H52" s="15"/>
      <c r="I52" s="15"/>
      <c r="J52" s="15"/>
      <c r="K52" s="15"/>
      <c r="L52" s="15"/>
      <c r="M52" s="18"/>
      <c r="N52" s="18"/>
    </row>
    <row r="53" spans="1:14" ht="60" customHeight="1" thickBot="1" x14ac:dyDescent="0.25">
      <c r="A53" s="37" t="s">
        <v>103</v>
      </c>
      <c r="B53" s="38" t="s">
        <v>104</v>
      </c>
      <c r="C53" s="39"/>
      <c r="D53" s="40"/>
      <c r="E53" s="41" t="str">
        <f>IF(C53="","",(VLOOKUP(C53,'CRITERIOS DE CALIFICACIÓN'!$B$2:$C$11,2,FALSE)))</f>
        <v/>
      </c>
      <c r="F53" s="15"/>
      <c r="G53" s="15"/>
      <c r="H53" s="15"/>
      <c r="I53" s="15"/>
      <c r="J53" s="15"/>
      <c r="K53" s="15"/>
      <c r="L53" s="15"/>
      <c r="M53" s="18"/>
      <c r="N53" s="18"/>
    </row>
    <row r="54" spans="1:14" ht="60" customHeight="1" thickBot="1" x14ac:dyDescent="0.25">
      <c r="A54" s="32" t="s">
        <v>105</v>
      </c>
      <c r="B54" s="33" t="s">
        <v>106</v>
      </c>
      <c r="C54" s="34"/>
      <c r="D54" s="35"/>
      <c r="E54" s="36" t="str">
        <f>IF(C54="","",(VLOOKUP(C54,'CRITERIOS DE CALIFICACIÓN'!$B$2:$C$11,2,FALSE)))</f>
        <v/>
      </c>
      <c r="F54" s="15"/>
      <c r="G54" s="15"/>
      <c r="H54" s="15"/>
      <c r="I54" s="15"/>
      <c r="J54" s="15"/>
      <c r="K54" s="15"/>
      <c r="L54" s="15"/>
      <c r="M54" s="18"/>
      <c r="N54" s="18"/>
    </row>
    <row r="55" spans="1:14" ht="72.75" customHeight="1" thickBot="1" x14ac:dyDescent="0.25">
      <c r="A55" s="37" t="s">
        <v>107</v>
      </c>
      <c r="B55" s="38" t="s">
        <v>108</v>
      </c>
      <c r="C55" s="39"/>
      <c r="D55" s="40"/>
      <c r="E55" s="41" t="str">
        <f>IF(C55="","",(VLOOKUP(C55,'CRITERIOS DE CALIFICACIÓN'!$B$2:$C$11,2,FALSE)))</f>
        <v/>
      </c>
      <c r="F55" s="15"/>
      <c r="G55" s="15"/>
      <c r="H55" s="15"/>
      <c r="I55" s="15"/>
      <c r="J55" s="15"/>
      <c r="K55" s="15"/>
      <c r="L55" s="15"/>
      <c r="M55" s="18"/>
      <c r="N55" s="18"/>
    </row>
    <row r="56" spans="1:14" ht="60" customHeight="1" thickBot="1" x14ac:dyDescent="0.25">
      <c r="A56" s="32" t="s">
        <v>109</v>
      </c>
      <c r="B56" s="33" t="s">
        <v>110</v>
      </c>
      <c r="C56" s="34"/>
      <c r="D56" s="35"/>
      <c r="E56" s="36" t="str">
        <f>IF(C56="","",(VLOOKUP(C56,'CRITERIOS DE CALIFICACIÓN'!$B$2:$C$11,2,FALSE)))</f>
        <v/>
      </c>
      <c r="F56" s="15"/>
      <c r="G56" s="15"/>
      <c r="H56" s="15"/>
      <c r="I56" s="15"/>
      <c r="J56" s="15"/>
      <c r="K56" s="15"/>
      <c r="L56" s="15"/>
      <c r="M56" s="18"/>
      <c r="N56" s="18"/>
    </row>
    <row r="57" spans="1:14" s="3" customFormat="1" ht="60" customHeight="1" thickBot="1" x14ac:dyDescent="0.25">
      <c r="A57" s="37" t="s">
        <v>111</v>
      </c>
      <c r="B57" s="38" t="s">
        <v>112</v>
      </c>
      <c r="C57" s="39"/>
      <c r="D57" s="40"/>
      <c r="E57" s="41" t="str">
        <f>IF(C57="","",(VLOOKUP(C57,'CRITERIOS DE CALIFICACIÓN'!$B$2:$C$11,2,FALSE)))</f>
        <v/>
      </c>
      <c r="F57" s="14"/>
      <c r="G57" s="14"/>
      <c r="H57" s="14"/>
      <c r="I57" s="14"/>
      <c r="J57" s="14"/>
      <c r="K57" s="14"/>
      <c r="L57" s="14"/>
      <c r="M57" s="17"/>
      <c r="N57" s="17"/>
    </row>
    <row r="58" spans="1:14" ht="60" customHeight="1" thickBot="1" x14ac:dyDescent="0.25">
      <c r="A58" s="32" t="s">
        <v>113</v>
      </c>
      <c r="B58" s="33" t="s">
        <v>114</v>
      </c>
      <c r="C58" s="34"/>
      <c r="D58" s="35"/>
      <c r="E58" s="36" t="str">
        <f>IF(C58="","",(VLOOKUP(C58,'CRITERIOS DE CALIFICACIÓN'!$B$2:$C$11,2,FALSE)))</f>
        <v/>
      </c>
      <c r="F58" s="15"/>
      <c r="G58" s="15"/>
      <c r="H58" s="15"/>
      <c r="I58" s="15"/>
      <c r="J58" s="15"/>
      <c r="K58" s="15"/>
      <c r="L58" s="15"/>
      <c r="M58" s="18"/>
      <c r="N58" s="18"/>
    </row>
    <row r="59" spans="1:14" ht="24.95" customHeight="1" thickBot="1" x14ac:dyDescent="0.25">
      <c r="A59" s="61" t="s">
        <v>115</v>
      </c>
      <c r="B59" s="62"/>
      <c r="C59" s="62"/>
      <c r="D59" s="62"/>
      <c r="E59" s="44" t="e">
        <f>AVERAGE(E60:E63)</f>
        <v>#DIV/0!</v>
      </c>
      <c r="F59" s="15"/>
      <c r="G59" s="15"/>
      <c r="H59" s="15"/>
      <c r="I59" s="15"/>
      <c r="J59" s="15"/>
      <c r="K59" s="15"/>
      <c r="L59" s="15"/>
      <c r="M59" s="18"/>
      <c r="N59" s="18"/>
    </row>
    <row r="60" spans="1:14" ht="80.099999999999994" customHeight="1" thickBot="1" x14ac:dyDescent="0.25">
      <c r="A60" s="32" t="s">
        <v>116</v>
      </c>
      <c r="B60" s="33" t="s">
        <v>117</v>
      </c>
      <c r="C60" s="34"/>
      <c r="D60" s="35"/>
      <c r="E60" s="36" t="str">
        <f>IF(C60="","",(VLOOKUP(C60,'CRITERIOS DE CALIFICACIÓN'!$B$2:$C$11,2,FALSE)))</f>
        <v/>
      </c>
      <c r="F60" s="15"/>
      <c r="G60" s="15"/>
      <c r="H60" s="15"/>
      <c r="I60" s="15"/>
      <c r="J60" s="15"/>
      <c r="K60" s="15"/>
      <c r="L60" s="15"/>
      <c r="M60" s="18"/>
      <c r="N60" s="18"/>
    </row>
    <row r="61" spans="1:14" s="3" customFormat="1" ht="80.099999999999994" customHeight="1" thickBot="1" x14ac:dyDescent="0.25">
      <c r="A61" s="37" t="s">
        <v>118</v>
      </c>
      <c r="B61" s="38" t="s">
        <v>119</v>
      </c>
      <c r="C61" s="39"/>
      <c r="D61" s="40"/>
      <c r="E61" s="41" t="str">
        <f>IF(C61="","",(VLOOKUP(C61,'CRITERIOS DE CALIFICACIÓN'!$B$2:$C$11,2,FALSE)))</f>
        <v/>
      </c>
      <c r="F61" s="14"/>
      <c r="G61" s="14"/>
      <c r="H61" s="14"/>
      <c r="I61" s="14"/>
      <c r="J61" s="14"/>
      <c r="K61" s="14"/>
      <c r="L61" s="14"/>
      <c r="M61" s="17"/>
      <c r="N61" s="17"/>
    </row>
    <row r="62" spans="1:14" ht="60" customHeight="1" thickBot="1" x14ac:dyDescent="0.25">
      <c r="A62" s="32" t="s">
        <v>120</v>
      </c>
      <c r="B62" s="33" t="s">
        <v>121</v>
      </c>
      <c r="C62" s="34"/>
      <c r="D62" s="35"/>
      <c r="E62" s="36" t="str">
        <f>IF(C62="","",(VLOOKUP(C62,'CRITERIOS DE CALIFICACIÓN'!$B$2:$C$11,2,FALSE)))</f>
        <v/>
      </c>
      <c r="F62" s="15"/>
      <c r="G62" s="15"/>
      <c r="H62" s="15"/>
      <c r="I62" s="15"/>
      <c r="J62" s="15"/>
      <c r="K62" s="15"/>
      <c r="L62" s="15"/>
      <c r="M62" s="18"/>
      <c r="N62" s="18"/>
    </row>
    <row r="63" spans="1:14" ht="99.95" customHeight="1" thickBot="1" x14ac:dyDescent="0.25">
      <c r="A63" s="37" t="s">
        <v>122</v>
      </c>
      <c r="B63" s="38" t="s">
        <v>123</v>
      </c>
      <c r="C63" s="39"/>
      <c r="D63" s="40"/>
      <c r="E63" s="41" t="str">
        <f>IF(C63="","",(VLOOKUP(C63,'CRITERIOS DE CALIFICACIÓN'!$B$2:$C$11,2,FALSE)))</f>
        <v/>
      </c>
      <c r="F63" s="15"/>
      <c r="G63" s="15"/>
      <c r="H63" s="15"/>
      <c r="I63" s="15"/>
      <c r="J63" s="15"/>
      <c r="K63" s="15"/>
      <c r="L63" s="15"/>
      <c r="M63" s="18"/>
      <c r="N63" s="18"/>
    </row>
    <row r="64" spans="1:14" ht="24.95" customHeight="1" thickBot="1" x14ac:dyDescent="0.25">
      <c r="A64" s="61" t="s">
        <v>124</v>
      </c>
      <c r="B64" s="62"/>
      <c r="C64" s="62"/>
      <c r="D64" s="62"/>
      <c r="E64" s="44" t="e">
        <f>AVERAGE(E65:E67)</f>
        <v>#DIV/0!</v>
      </c>
      <c r="F64" s="15"/>
      <c r="G64" s="15"/>
      <c r="H64" s="15"/>
      <c r="I64" s="15"/>
      <c r="J64" s="15"/>
      <c r="K64" s="15"/>
      <c r="L64" s="15"/>
      <c r="M64" s="18"/>
      <c r="N64" s="18"/>
    </row>
    <row r="65" spans="1:14" ht="60" customHeight="1" thickBot="1" x14ac:dyDescent="0.25">
      <c r="A65" s="32" t="s">
        <v>125</v>
      </c>
      <c r="B65" s="33" t="s">
        <v>126</v>
      </c>
      <c r="C65" s="34"/>
      <c r="D65" s="35"/>
      <c r="E65" s="36" t="str">
        <f>IF(C65="","",(VLOOKUP(C65,'CRITERIOS DE CALIFICACIÓN'!$B$2:$C$11,2,FALSE)))</f>
        <v/>
      </c>
      <c r="F65" s="15"/>
      <c r="G65" s="15"/>
      <c r="H65" s="15"/>
      <c r="I65" s="15"/>
      <c r="J65" s="15"/>
      <c r="K65" s="15"/>
      <c r="L65" s="15"/>
      <c r="M65" s="18"/>
      <c r="N65" s="18"/>
    </row>
    <row r="66" spans="1:14" ht="39.950000000000003" customHeight="1" thickBot="1" x14ac:dyDescent="0.25">
      <c r="A66" s="37" t="s">
        <v>127</v>
      </c>
      <c r="B66" s="38" t="s">
        <v>128</v>
      </c>
      <c r="C66" s="39"/>
      <c r="D66" s="40"/>
      <c r="E66" s="41" t="str">
        <f>IF(C66="","",(VLOOKUP(C66,'CRITERIOS DE CALIFICACIÓN'!$B$2:$C$11,2,FALSE)))</f>
        <v/>
      </c>
      <c r="F66" s="15"/>
      <c r="G66" s="15"/>
      <c r="H66" s="15"/>
      <c r="I66" s="15"/>
      <c r="J66" s="15"/>
      <c r="K66" s="15"/>
      <c r="L66" s="15"/>
      <c r="M66" s="18"/>
      <c r="N66" s="18"/>
    </row>
    <row r="67" spans="1:14" ht="39.950000000000003" customHeight="1" thickBot="1" x14ac:dyDescent="0.25">
      <c r="A67" s="32" t="s">
        <v>129</v>
      </c>
      <c r="B67" s="33" t="s">
        <v>130</v>
      </c>
      <c r="C67" s="34"/>
      <c r="D67" s="35"/>
      <c r="E67" s="36" t="str">
        <f>IF(C67="","",(VLOOKUP(C67,'CRITERIOS DE CALIFICACIÓN'!$B$2:$C$11,2,FALSE)))</f>
        <v/>
      </c>
      <c r="F67" s="15"/>
      <c r="G67" s="15"/>
      <c r="H67" s="15"/>
      <c r="I67" s="15"/>
      <c r="J67" s="15"/>
      <c r="K67" s="15"/>
      <c r="L67" s="15"/>
      <c r="M67" s="18"/>
      <c r="N67" s="18"/>
    </row>
    <row r="68" spans="1:14" s="3" customFormat="1" ht="39.950000000000003" customHeight="1" thickBot="1" x14ac:dyDescent="0.25">
      <c r="A68" s="61" t="s">
        <v>131</v>
      </c>
      <c r="B68" s="62"/>
      <c r="C68" s="62"/>
      <c r="D68" s="62"/>
      <c r="E68" s="44" t="e">
        <f>AVERAGE(E69:E83)</f>
        <v>#DIV/0!</v>
      </c>
      <c r="F68" s="14"/>
      <c r="G68" s="14"/>
      <c r="H68" s="14"/>
      <c r="I68" s="14"/>
      <c r="J68" s="14"/>
      <c r="K68" s="14"/>
      <c r="L68" s="14"/>
      <c r="M68" s="17"/>
      <c r="N68" s="17"/>
    </row>
    <row r="69" spans="1:14" ht="80.099999999999994" customHeight="1" thickBot="1" x14ac:dyDescent="0.25">
      <c r="A69" s="32" t="s">
        <v>132</v>
      </c>
      <c r="B69" s="33" t="s">
        <v>133</v>
      </c>
      <c r="C69" s="34"/>
      <c r="D69" s="35"/>
      <c r="E69" s="36" t="str">
        <f>IF(C69="","",(VLOOKUP(C69,'CRITERIOS DE CALIFICACIÓN'!$B$2:$C$11,2,FALSE)))</f>
        <v/>
      </c>
      <c r="F69" s="15"/>
      <c r="G69" s="15"/>
      <c r="H69" s="15"/>
      <c r="I69" s="15"/>
      <c r="J69" s="15"/>
      <c r="K69" s="15"/>
      <c r="L69" s="15"/>
      <c r="M69" s="18"/>
      <c r="N69" s="18"/>
    </row>
    <row r="70" spans="1:14" ht="24.95" customHeight="1" thickBot="1" x14ac:dyDescent="0.25">
      <c r="A70" s="37" t="s">
        <v>134</v>
      </c>
      <c r="B70" s="38" t="s">
        <v>135</v>
      </c>
      <c r="C70" s="39"/>
      <c r="D70" s="40"/>
      <c r="E70" s="41" t="str">
        <f>IF(C70="","",(VLOOKUP(C70,'CRITERIOS DE CALIFICACIÓN'!$B$2:$C$11,2,FALSE)))</f>
        <v/>
      </c>
      <c r="F70" s="15"/>
      <c r="G70" s="15"/>
      <c r="H70" s="15"/>
      <c r="I70" s="15"/>
      <c r="J70" s="15"/>
      <c r="K70" s="15"/>
      <c r="L70" s="15"/>
      <c r="M70" s="18"/>
      <c r="N70" s="18"/>
    </row>
    <row r="71" spans="1:14" ht="60.75" thickBot="1" x14ac:dyDescent="0.25">
      <c r="A71" s="32" t="s">
        <v>136</v>
      </c>
      <c r="B71" s="33" t="s">
        <v>137</v>
      </c>
      <c r="C71" s="34"/>
      <c r="D71" s="35"/>
      <c r="E71" s="36" t="str">
        <f>IF(C71="","",(VLOOKUP(C71,'CRITERIOS DE CALIFICACIÓN'!$B$2:$C$11,2,FALSE)))</f>
        <v/>
      </c>
      <c r="F71" s="15"/>
      <c r="G71" s="15"/>
      <c r="H71" s="15"/>
      <c r="I71" s="15"/>
      <c r="J71" s="15"/>
      <c r="K71" s="15"/>
      <c r="L71" s="15"/>
      <c r="M71" s="18"/>
      <c r="N71" s="18"/>
    </row>
    <row r="72" spans="1:14" ht="24.95" customHeight="1" thickBot="1" x14ac:dyDescent="0.25">
      <c r="A72" s="37" t="s">
        <v>138</v>
      </c>
      <c r="B72" s="38" t="s">
        <v>135</v>
      </c>
      <c r="C72" s="39"/>
      <c r="D72" s="40"/>
      <c r="E72" s="41" t="str">
        <f>IF(C72="","",(VLOOKUP(C72,'CRITERIOS DE CALIFICACIÓN'!$B$2:$C$11,2,FALSE)))</f>
        <v/>
      </c>
      <c r="F72" s="15"/>
      <c r="G72" s="15"/>
      <c r="H72" s="15"/>
      <c r="I72" s="15"/>
      <c r="J72" s="15"/>
      <c r="K72" s="15"/>
      <c r="L72" s="15"/>
      <c r="M72" s="18"/>
      <c r="N72" s="18"/>
    </row>
    <row r="73" spans="1:14" ht="80.099999999999994" customHeight="1" thickBot="1" x14ac:dyDescent="0.25">
      <c r="A73" s="32" t="s">
        <v>139</v>
      </c>
      <c r="B73" s="33" t="s">
        <v>140</v>
      </c>
      <c r="C73" s="34"/>
      <c r="D73" s="35"/>
      <c r="E73" s="36" t="str">
        <f>IF(C73="","",(VLOOKUP(C73,'CRITERIOS DE CALIFICACIÓN'!$B$2:$C$11,2,FALSE)))</f>
        <v/>
      </c>
      <c r="F73" s="15"/>
      <c r="G73" s="15"/>
      <c r="H73" s="15"/>
      <c r="I73" s="15"/>
      <c r="J73" s="15"/>
      <c r="K73" s="15"/>
      <c r="L73" s="15"/>
      <c r="M73" s="18"/>
      <c r="N73" s="18"/>
    </row>
    <row r="74" spans="1:14" ht="24.95" customHeight="1" thickBot="1" x14ac:dyDescent="0.25">
      <c r="A74" s="37" t="s">
        <v>141</v>
      </c>
      <c r="B74" s="38" t="s">
        <v>135</v>
      </c>
      <c r="C74" s="39"/>
      <c r="D74" s="40"/>
      <c r="E74" s="41" t="str">
        <f>IF(C74="","",(VLOOKUP(C74,'CRITERIOS DE CALIFICACIÓN'!$B$2:$C$11,2,FALSE)))</f>
        <v/>
      </c>
      <c r="F74" s="15"/>
      <c r="G74" s="15"/>
      <c r="H74" s="15"/>
      <c r="I74" s="15"/>
      <c r="J74" s="15"/>
      <c r="K74" s="15"/>
      <c r="L74" s="15"/>
      <c r="M74" s="18"/>
      <c r="N74" s="18"/>
    </row>
    <row r="75" spans="1:14" ht="120" customHeight="1" thickBot="1" x14ac:dyDescent="0.25">
      <c r="A75" s="32" t="s">
        <v>142</v>
      </c>
      <c r="B75" s="33" t="s">
        <v>143</v>
      </c>
      <c r="C75" s="34"/>
      <c r="D75" s="35"/>
      <c r="E75" s="36" t="str">
        <f>IF(C75="","",(VLOOKUP(C75,'CRITERIOS DE CALIFICACIÓN'!$B$2:$C$11,2,FALSE)))</f>
        <v/>
      </c>
      <c r="F75" s="15"/>
      <c r="G75" s="15"/>
      <c r="H75" s="15"/>
      <c r="I75" s="15"/>
      <c r="J75" s="15"/>
      <c r="K75" s="15"/>
      <c r="L75" s="15"/>
      <c r="M75" s="18"/>
      <c r="N75" s="18"/>
    </row>
    <row r="76" spans="1:14" ht="80.099999999999994" customHeight="1" thickBot="1" x14ac:dyDescent="0.25">
      <c r="A76" s="37" t="s">
        <v>144</v>
      </c>
      <c r="B76" s="38" t="s">
        <v>145</v>
      </c>
      <c r="C76" s="39"/>
      <c r="D76" s="40"/>
      <c r="E76" s="41" t="str">
        <f>IF(C76="","",(VLOOKUP(C76,'CRITERIOS DE CALIFICACIÓN'!$B$2:$C$11,2,FALSE)))</f>
        <v/>
      </c>
      <c r="F76" s="15"/>
      <c r="G76" s="15"/>
      <c r="H76" s="15"/>
      <c r="I76" s="15"/>
      <c r="J76" s="15"/>
      <c r="K76" s="15"/>
      <c r="L76" s="15"/>
      <c r="M76" s="18"/>
      <c r="N76" s="18"/>
    </row>
    <row r="77" spans="1:14" ht="24.95" customHeight="1" thickBot="1" x14ac:dyDescent="0.25">
      <c r="A77" s="32" t="s">
        <v>146</v>
      </c>
      <c r="B77" s="33" t="s">
        <v>135</v>
      </c>
      <c r="C77" s="34"/>
      <c r="D77" s="35"/>
      <c r="E77" s="36" t="str">
        <f>IF(C77="","",(VLOOKUP(C77,'CRITERIOS DE CALIFICACIÓN'!$B$2:$C$11,2,FALSE)))</f>
        <v/>
      </c>
      <c r="F77" s="15"/>
      <c r="G77" s="15"/>
      <c r="H77" s="15"/>
      <c r="I77" s="15"/>
      <c r="J77" s="15"/>
      <c r="K77" s="15"/>
      <c r="L77" s="15"/>
      <c r="M77" s="18"/>
      <c r="N77" s="18"/>
    </row>
    <row r="78" spans="1:14" ht="39.950000000000003" customHeight="1" thickBot="1" x14ac:dyDescent="0.25">
      <c r="A78" s="61" t="s">
        <v>147</v>
      </c>
      <c r="B78" s="62"/>
      <c r="C78" s="62"/>
      <c r="D78" s="62"/>
      <c r="E78" s="44" t="e">
        <f>AVERAGE(E79:E83)</f>
        <v>#DIV/0!</v>
      </c>
      <c r="F78" s="15"/>
      <c r="G78" s="15"/>
      <c r="H78" s="15"/>
      <c r="I78" s="15"/>
      <c r="J78" s="15"/>
      <c r="K78" s="15"/>
      <c r="L78" s="15"/>
      <c r="M78" s="18"/>
      <c r="N78" s="18"/>
    </row>
    <row r="79" spans="1:14" ht="60" customHeight="1" thickBot="1" x14ac:dyDescent="0.25">
      <c r="A79" s="32" t="s">
        <v>148</v>
      </c>
      <c r="B79" s="33" t="s">
        <v>149</v>
      </c>
      <c r="C79" s="34"/>
      <c r="D79" s="35"/>
      <c r="E79" s="36" t="str">
        <f>IF(C79="","",(VLOOKUP(C79,'CRITERIOS DE CALIFICACIÓN'!$B$2:$C$11,2,FALSE)))</f>
        <v/>
      </c>
      <c r="F79" s="15"/>
      <c r="G79" s="15"/>
      <c r="H79" s="15"/>
      <c r="I79" s="15"/>
      <c r="J79" s="15"/>
      <c r="K79" s="15"/>
      <c r="L79" s="15"/>
      <c r="M79" s="18"/>
      <c r="N79" s="18"/>
    </row>
    <row r="80" spans="1:14" ht="80.099999999999994" customHeight="1" thickBot="1" x14ac:dyDescent="0.25">
      <c r="A80" s="37" t="s">
        <v>150</v>
      </c>
      <c r="B80" s="38" t="s">
        <v>151</v>
      </c>
      <c r="C80" s="39"/>
      <c r="D80" s="40"/>
      <c r="E80" s="41" t="str">
        <f>IF(C80="","",(VLOOKUP(C80,'CRITERIOS DE CALIFICACIÓN'!$B$2:$C$11,2,FALSE)))</f>
        <v/>
      </c>
      <c r="F80" s="15"/>
      <c r="G80" s="15"/>
      <c r="H80" s="15"/>
      <c r="I80" s="15"/>
      <c r="J80" s="15"/>
      <c r="K80" s="15"/>
      <c r="L80" s="15"/>
      <c r="M80" s="18"/>
      <c r="N80" s="18"/>
    </row>
    <row r="81" spans="1:14" s="3" customFormat="1" ht="39.950000000000003" customHeight="1" thickBot="1" x14ac:dyDescent="0.25">
      <c r="A81" s="32" t="s">
        <v>152</v>
      </c>
      <c r="B81" s="33" t="s">
        <v>153</v>
      </c>
      <c r="C81" s="34"/>
      <c r="D81" s="35"/>
      <c r="E81" s="36" t="str">
        <f>IF(C81="","",(VLOOKUP(C81,'CRITERIOS DE CALIFICACIÓN'!$B$2:$C$11,2,FALSE)))</f>
        <v/>
      </c>
      <c r="F81" s="14"/>
      <c r="G81" s="14"/>
      <c r="H81" s="14"/>
      <c r="I81" s="14"/>
      <c r="J81" s="14"/>
      <c r="K81" s="14"/>
      <c r="L81" s="14"/>
      <c r="M81" s="17"/>
      <c r="N81" s="17"/>
    </row>
    <row r="82" spans="1:14" ht="39.950000000000003" customHeight="1" thickBot="1" x14ac:dyDescent="0.25">
      <c r="A82" s="37" t="s">
        <v>154</v>
      </c>
      <c r="B82" s="38" t="s">
        <v>155</v>
      </c>
      <c r="C82" s="39"/>
      <c r="D82" s="40"/>
      <c r="E82" s="41" t="str">
        <f>IF(C82="","",(VLOOKUP(C82,'CRITERIOS DE CALIFICACIÓN'!$B$2:$C$11,2,FALSE)))</f>
        <v/>
      </c>
      <c r="F82" s="15"/>
      <c r="G82" s="15"/>
      <c r="H82" s="15"/>
      <c r="I82" s="15"/>
      <c r="J82" s="15"/>
      <c r="K82" s="15"/>
      <c r="L82" s="15"/>
      <c r="M82" s="18"/>
      <c r="N82" s="18"/>
    </row>
    <row r="83" spans="1:14" ht="60" customHeight="1" thickBot="1" x14ac:dyDescent="0.25">
      <c r="A83" s="32" t="s">
        <v>156</v>
      </c>
      <c r="B83" s="33" t="s">
        <v>157</v>
      </c>
      <c r="C83" s="34"/>
      <c r="D83" s="35"/>
      <c r="E83" s="36" t="str">
        <f>IF(C83="","",(VLOOKUP(C83,'CRITERIOS DE CALIFICACIÓN'!$B$2:$C$11,2,FALSE)))</f>
        <v/>
      </c>
      <c r="F83" s="15"/>
      <c r="G83" s="15"/>
      <c r="H83" s="15"/>
      <c r="I83" s="15"/>
      <c r="J83" s="15"/>
      <c r="K83" s="15"/>
      <c r="L83" s="15"/>
      <c r="M83" s="18"/>
      <c r="N83" s="18"/>
    </row>
    <row r="84" spans="1:14" ht="24.95" customHeight="1" thickBot="1" x14ac:dyDescent="0.25">
      <c r="A84" s="61" t="s">
        <v>158</v>
      </c>
      <c r="B84" s="62"/>
      <c r="C84" s="62"/>
      <c r="D84" s="62"/>
      <c r="E84" s="44" t="e">
        <f>AVERAGE(E85:E88)</f>
        <v>#DIV/0!</v>
      </c>
      <c r="F84" s="15"/>
      <c r="G84" s="15"/>
      <c r="H84" s="15"/>
      <c r="I84" s="15"/>
      <c r="J84" s="15"/>
      <c r="K84" s="15"/>
      <c r="L84" s="15"/>
      <c r="M84" s="18"/>
      <c r="N84" s="18"/>
    </row>
    <row r="85" spans="1:14" s="3" customFormat="1" ht="80.099999999999994" customHeight="1" thickBot="1" x14ac:dyDescent="0.25">
      <c r="A85" s="32" t="s">
        <v>159</v>
      </c>
      <c r="B85" s="33" t="s">
        <v>160</v>
      </c>
      <c r="C85" s="34"/>
      <c r="D85" s="35"/>
      <c r="E85" s="36" t="str">
        <f>IF(C85="","",(VLOOKUP(C85,'CRITERIOS DE CALIFICACIÓN'!$B$2:$C$11,2,FALSE)))</f>
        <v/>
      </c>
      <c r="F85" s="14"/>
      <c r="G85" s="14"/>
      <c r="H85" s="14"/>
      <c r="I85" s="14"/>
      <c r="J85" s="14"/>
      <c r="K85" s="14"/>
      <c r="L85" s="14"/>
      <c r="M85" s="17"/>
      <c r="N85" s="17"/>
    </row>
    <row r="86" spans="1:14" ht="60" customHeight="1" thickBot="1" x14ac:dyDescent="0.25">
      <c r="A86" s="37" t="s">
        <v>161</v>
      </c>
      <c r="B86" s="38" t="s">
        <v>162</v>
      </c>
      <c r="C86" s="39"/>
      <c r="D86" s="40"/>
      <c r="E86" s="41" t="str">
        <f>IF(C86="","",(VLOOKUP(C86,'CRITERIOS DE CALIFICACIÓN'!$B$2:$C$11,2,FALSE)))</f>
        <v/>
      </c>
      <c r="F86" s="15"/>
      <c r="G86" s="15"/>
      <c r="H86" s="15"/>
      <c r="I86" s="15"/>
      <c r="J86" s="15"/>
      <c r="K86" s="15"/>
      <c r="L86" s="15"/>
      <c r="M86" s="18"/>
      <c r="N86" s="18"/>
    </row>
    <row r="87" spans="1:14" ht="60" customHeight="1" thickBot="1" x14ac:dyDescent="0.25">
      <c r="A87" s="32" t="s">
        <v>163</v>
      </c>
      <c r="B87" s="33" t="s">
        <v>164</v>
      </c>
      <c r="C87" s="34"/>
      <c r="D87" s="35"/>
      <c r="E87" s="36" t="str">
        <f>IF(C87="","",(VLOOKUP(C87,'CRITERIOS DE CALIFICACIÓN'!$B$2:$C$11,2,FALSE)))</f>
        <v/>
      </c>
      <c r="F87" s="15"/>
      <c r="G87" s="15"/>
      <c r="H87" s="15"/>
      <c r="I87" s="15"/>
      <c r="J87" s="15"/>
      <c r="K87" s="15"/>
      <c r="L87" s="15"/>
      <c r="M87" s="18"/>
      <c r="N87" s="18"/>
    </row>
    <row r="88" spans="1:14" ht="60" customHeight="1" thickBot="1" x14ac:dyDescent="0.25">
      <c r="A88" s="37" t="s">
        <v>165</v>
      </c>
      <c r="B88" s="38" t="s">
        <v>166</v>
      </c>
      <c r="C88" s="39"/>
      <c r="D88" s="40"/>
      <c r="E88" s="41" t="str">
        <f>IF(C88="","",(VLOOKUP(C88,'CRITERIOS DE CALIFICACIÓN'!$B$2:$C$11,2,FALSE)))</f>
        <v/>
      </c>
      <c r="F88" s="15"/>
      <c r="G88" s="15"/>
      <c r="H88" s="15"/>
      <c r="I88" s="15"/>
      <c r="J88" s="15"/>
      <c r="K88" s="15"/>
      <c r="L88" s="15"/>
      <c r="M88" s="18"/>
      <c r="N88" s="18"/>
    </row>
    <row r="89" spans="1:14" ht="24.95" customHeight="1" thickBot="1" x14ac:dyDescent="0.25">
      <c r="A89" s="61" t="s">
        <v>167</v>
      </c>
      <c r="B89" s="62"/>
      <c r="C89" s="62"/>
      <c r="D89" s="62"/>
      <c r="E89" s="44" t="e">
        <f>AVERAGE(E90:E96)</f>
        <v>#DIV/0!</v>
      </c>
      <c r="F89" s="15"/>
      <c r="G89" s="15"/>
      <c r="H89" s="15"/>
      <c r="I89" s="15"/>
      <c r="J89" s="15"/>
      <c r="K89" s="15"/>
      <c r="L89" s="15"/>
      <c r="M89" s="18"/>
      <c r="N89" s="18"/>
    </row>
    <row r="90" spans="1:14" s="3" customFormat="1" ht="84.75" customHeight="1" thickBot="1" x14ac:dyDescent="0.25">
      <c r="A90" s="32" t="s">
        <v>168</v>
      </c>
      <c r="B90" s="33" t="s">
        <v>169</v>
      </c>
      <c r="C90" s="34"/>
      <c r="D90" s="35"/>
      <c r="E90" s="36" t="str">
        <f>IF(C90="","",(VLOOKUP(C90,'CRITERIOS DE CALIFICACIÓN'!$B$2:$C$11,2,FALSE)))</f>
        <v/>
      </c>
      <c r="F90" s="14"/>
      <c r="G90" s="14"/>
      <c r="H90" s="14"/>
      <c r="I90" s="14"/>
      <c r="J90" s="14"/>
      <c r="K90" s="14"/>
      <c r="L90" s="14"/>
      <c r="M90" s="17"/>
      <c r="N90" s="17"/>
    </row>
    <row r="91" spans="1:14" ht="60" customHeight="1" thickBot="1" x14ac:dyDescent="0.25">
      <c r="A91" s="37" t="s">
        <v>170</v>
      </c>
      <c r="B91" s="38" t="s">
        <v>171</v>
      </c>
      <c r="C91" s="39"/>
      <c r="D91" s="40"/>
      <c r="E91" s="41" t="str">
        <f>IF(C91="","",(VLOOKUP(C91,'CRITERIOS DE CALIFICACIÓN'!$B$2:$C$11,2,FALSE)))</f>
        <v/>
      </c>
      <c r="F91" s="15"/>
      <c r="G91" s="15"/>
      <c r="H91" s="15"/>
      <c r="I91" s="15"/>
      <c r="J91" s="15"/>
      <c r="K91" s="15"/>
      <c r="L91" s="15"/>
      <c r="M91" s="18"/>
      <c r="N91" s="18"/>
    </row>
    <row r="92" spans="1:14" ht="39.950000000000003" customHeight="1" thickBot="1" x14ac:dyDescent="0.25">
      <c r="A92" s="32" t="s">
        <v>172</v>
      </c>
      <c r="B92" s="33" t="s">
        <v>173</v>
      </c>
      <c r="C92" s="34"/>
      <c r="D92" s="35"/>
      <c r="E92" s="36" t="str">
        <f>IF(C92="","",(VLOOKUP(C92,'CRITERIOS DE CALIFICACIÓN'!$B$2:$C$11,2,FALSE)))</f>
        <v/>
      </c>
      <c r="F92" s="15"/>
      <c r="G92" s="15"/>
      <c r="H92" s="15"/>
      <c r="I92" s="15"/>
      <c r="J92" s="15"/>
      <c r="K92" s="15"/>
      <c r="L92" s="15"/>
      <c r="M92" s="18"/>
      <c r="N92" s="18"/>
    </row>
    <row r="93" spans="1:14" ht="39.950000000000003" customHeight="1" thickBot="1" x14ac:dyDescent="0.25">
      <c r="A93" s="37" t="s">
        <v>174</v>
      </c>
      <c r="B93" s="38" t="s">
        <v>175</v>
      </c>
      <c r="C93" s="39"/>
      <c r="D93" s="40"/>
      <c r="E93" s="41" t="str">
        <f>IF(C93="","",(VLOOKUP(C93,'CRITERIOS DE CALIFICACIÓN'!$B$2:$C$11,2,FALSE)))</f>
        <v/>
      </c>
      <c r="F93" s="15"/>
      <c r="G93" s="15"/>
      <c r="H93" s="15"/>
      <c r="I93" s="15"/>
      <c r="J93" s="15"/>
      <c r="K93" s="15"/>
      <c r="L93" s="15"/>
      <c r="M93" s="18"/>
      <c r="N93" s="18"/>
    </row>
    <row r="94" spans="1:14" ht="60" customHeight="1" thickBot="1" x14ac:dyDescent="0.25">
      <c r="A94" s="32" t="s">
        <v>176</v>
      </c>
      <c r="B94" s="33" t="s">
        <v>177</v>
      </c>
      <c r="C94" s="34"/>
      <c r="D94" s="35"/>
      <c r="E94" s="36" t="str">
        <f>IF(C94="","",(VLOOKUP(C94,'CRITERIOS DE CALIFICACIÓN'!$B$2:$C$11,2,FALSE)))</f>
        <v/>
      </c>
      <c r="F94" s="15"/>
      <c r="G94" s="15"/>
      <c r="H94" s="15"/>
      <c r="I94" s="15"/>
      <c r="J94" s="15"/>
      <c r="K94" s="15"/>
      <c r="L94" s="15"/>
      <c r="M94" s="18"/>
      <c r="N94" s="18"/>
    </row>
    <row r="95" spans="1:14" ht="90" customHeight="1" thickBot="1" x14ac:dyDescent="0.25">
      <c r="A95" s="37" t="s">
        <v>178</v>
      </c>
      <c r="B95" s="38" t="s">
        <v>179</v>
      </c>
      <c r="C95" s="39"/>
      <c r="D95" s="40"/>
      <c r="E95" s="41" t="str">
        <f>IF(C95="","",(VLOOKUP(C95,'CRITERIOS DE CALIFICACIÓN'!$B$2:$C$11,2,FALSE)))</f>
        <v/>
      </c>
      <c r="F95" s="15"/>
      <c r="G95" s="15"/>
      <c r="H95" s="15"/>
      <c r="I95" s="15"/>
      <c r="J95" s="15"/>
      <c r="K95" s="15"/>
      <c r="L95" s="15"/>
      <c r="M95" s="18"/>
      <c r="N95" s="18"/>
    </row>
    <row r="96" spans="1:14" ht="90" customHeight="1" thickBot="1" x14ac:dyDescent="0.25">
      <c r="A96" s="32" t="s">
        <v>180</v>
      </c>
      <c r="B96" s="33" t="s">
        <v>181</v>
      </c>
      <c r="C96" s="34"/>
      <c r="D96" s="35"/>
      <c r="E96" s="36" t="str">
        <f>IF(C96="","",(VLOOKUP(C96,'CRITERIOS DE CALIFICACIÓN'!$B$2:$C$11,2,FALSE)))</f>
        <v/>
      </c>
      <c r="F96" s="15"/>
      <c r="G96" s="15"/>
      <c r="H96" s="15"/>
      <c r="I96" s="15"/>
      <c r="J96" s="15"/>
      <c r="K96" s="15"/>
      <c r="L96" s="15"/>
      <c r="M96" s="18"/>
      <c r="N96" s="18"/>
    </row>
    <row r="97" spans="1:14" ht="50.1" customHeight="1" thickBot="1" x14ac:dyDescent="0.25">
      <c r="A97" s="61" t="s">
        <v>182</v>
      </c>
      <c r="B97" s="62"/>
      <c r="C97" s="62"/>
      <c r="D97" s="62"/>
      <c r="E97" s="44" t="e">
        <f>AVERAGE(E98:E101)</f>
        <v>#DIV/0!</v>
      </c>
      <c r="F97" s="15"/>
      <c r="G97" s="15"/>
      <c r="H97" s="15"/>
      <c r="I97" s="15"/>
      <c r="J97" s="15"/>
      <c r="K97" s="15"/>
      <c r="L97" s="15"/>
      <c r="M97" s="18"/>
      <c r="N97" s="18"/>
    </row>
    <row r="98" spans="1:14" ht="80.099999999999994" customHeight="1" thickBot="1" x14ac:dyDescent="0.25">
      <c r="A98" s="32" t="s">
        <v>183</v>
      </c>
      <c r="B98" s="33" t="s">
        <v>184</v>
      </c>
      <c r="C98" s="34"/>
      <c r="D98" s="35"/>
      <c r="E98" s="36" t="str">
        <f>IF(C98="","",(VLOOKUP(C98,'CRITERIOS DE CALIFICACIÓN'!$B$2:$C$11,2,FALSE)))</f>
        <v/>
      </c>
      <c r="F98" s="15"/>
      <c r="G98" s="15"/>
      <c r="H98" s="15"/>
      <c r="I98" s="15"/>
      <c r="J98" s="15"/>
      <c r="K98" s="15"/>
      <c r="L98" s="15"/>
      <c r="M98" s="18"/>
      <c r="N98" s="18"/>
    </row>
    <row r="99" spans="1:14" ht="80.099999999999994" customHeight="1" thickBot="1" x14ac:dyDescent="0.25">
      <c r="A99" s="37" t="s">
        <v>185</v>
      </c>
      <c r="B99" s="38" t="s">
        <v>186</v>
      </c>
      <c r="C99" s="39"/>
      <c r="D99" s="40"/>
      <c r="E99" s="41" t="str">
        <f>IF(C99="","",(VLOOKUP(C99,'CRITERIOS DE CALIFICACIÓN'!$B$2:$C$11,2,FALSE)))</f>
        <v/>
      </c>
      <c r="F99" s="15"/>
      <c r="G99" s="15"/>
      <c r="H99" s="15"/>
      <c r="I99" s="15"/>
      <c r="J99" s="15"/>
      <c r="K99" s="15"/>
      <c r="L99" s="15"/>
      <c r="M99" s="18"/>
      <c r="N99" s="18"/>
    </row>
    <row r="100" spans="1:14" ht="60" customHeight="1" thickBot="1" x14ac:dyDescent="0.25">
      <c r="A100" s="32" t="s">
        <v>187</v>
      </c>
      <c r="B100" s="33" t="s">
        <v>188</v>
      </c>
      <c r="C100" s="34"/>
      <c r="D100" s="35"/>
      <c r="E100" s="36" t="str">
        <f>IF(C100="","",(VLOOKUP(C100,'CRITERIOS DE CALIFICACIÓN'!$B$2:$C$11,2,FALSE)))</f>
        <v/>
      </c>
      <c r="F100" s="15"/>
      <c r="G100" s="15"/>
      <c r="H100" s="15"/>
      <c r="I100" s="15"/>
      <c r="J100" s="15"/>
      <c r="K100" s="15"/>
      <c r="L100" s="15"/>
      <c r="M100" s="18"/>
      <c r="N100" s="18"/>
    </row>
    <row r="101" spans="1:14" ht="80.099999999999994" customHeight="1" thickBot="1" x14ac:dyDescent="0.25">
      <c r="A101" s="37" t="s">
        <v>189</v>
      </c>
      <c r="B101" s="38" t="s">
        <v>190</v>
      </c>
      <c r="C101" s="39"/>
      <c r="D101" s="40"/>
      <c r="E101" s="41" t="str">
        <f>IF(C101="","",(VLOOKUP(C101,'CRITERIOS DE CALIFICACIÓN'!$B$2:$C$11,2,FALSE)))</f>
        <v/>
      </c>
      <c r="F101" s="15"/>
      <c r="G101" s="15"/>
      <c r="H101" s="15"/>
      <c r="I101" s="15"/>
      <c r="J101" s="15"/>
      <c r="K101" s="15"/>
      <c r="L101" s="15"/>
      <c r="M101" s="18"/>
      <c r="N101" s="18"/>
    </row>
    <row r="102" spans="1:14" ht="24.95" customHeight="1" thickBot="1" x14ac:dyDescent="0.25">
      <c r="A102" s="61" t="s">
        <v>191</v>
      </c>
      <c r="B102" s="62"/>
      <c r="C102" s="62"/>
      <c r="D102" s="62"/>
      <c r="E102" s="44" t="e">
        <f>AVERAGE(E103:E115)</f>
        <v>#DIV/0!</v>
      </c>
      <c r="F102" s="15"/>
      <c r="G102" s="15"/>
      <c r="H102" s="15"/>
      <c r="I102" s="15"/>
      <c r="J102" s="15"/>
      <c r="K102" s="15"/>
      <c r="L102" s="15"/>
      <c r="M102" s="18"/>
      <c r="N102" s="18"/>
    </row>
    <row r="103" spans="1:14" ht="96.75" customHeight="1" thickBot="1" x14ac:dyDescent="0.25">
      <c r="A103" s="32" t="s">
        <v>192</v>
      </c>
      <c r="B103" s="33" t="s">
        <v>193</v>
      </c>
      <c r="C103" s="34"/>
      <c r="D103" s="35"/>
      <c r="E103" s="36" t="str">
        <f>IF(C103="","",(VLOOKUP(C103,'CRITERIOS DE CALIFICACIÓN'!$B$2:$C$11,2,FALSE)))</f>
        <v/>
      </c>
      <c r="F103" s="15"/>
      <c r="G103" s="15"/>
      <c r="H103" s="15"/>
      <c r="I103" s="15"/>
      <c r="J103" s="15"/>
      <c r="K103" s="15"/>
      <c r="L103" s="15"/>
      <c r="M103" s="18"/>
      <c r="N103" s="18"/>
    </row>
    <row r="104" spans="1:14" ht="48" customHeight="1" thickBot="1" x14ac:dyDescent="0.25">
      <c r="A104" s="37" t="s">
        <v>194</v>
      </c>
      <c r="B104" s="38" t="s">
        <v>195</v>
      </c>
      <c r="C104" s="39"/>
      <c r="D104" s="40"/>
      <c r="E104" s="41" t="str">
        <f>IF(C104="","",(VLOOKUP(C104,'CRITERIOS DE CALIFICACIÓN'!$B$2:$C$11,2,FALSE)))</f>
        <v/>
      </c>
      <c r="F104" s="15"/>
      <c r="G104" s="15"/>
      <c r="H104" s="15"/>
      <c r="I104" s="15"/>
      <c r="J104" s="15"/>
      <c r="K104" s="15"/>
      <c r="L104" s="15"/>
      <c r="M104" s="18"/>
      <c r="N104" s="18"/>
    </row>
    <row r="105" spans="1:14" ht="51" customHeight="1" thickBot="1" x14ac:dyDescent="0.25">
      <c r="A105" s="32" t="s">
        <v>196</v>
      </c>
      <c r="B105" s="33" t="s">
        <v>197</v>
      </c>
      <c r="C105" s="34"/>
      <c r="D105" s="35"/>
      <c r="E105" s="36" t="str">
        <f>IF(C105="","",(VLOOKUP(C105,'CRITERIOS DE CALIFICACIÓN'!$B$2:$C$11,2,FALSE)))</f>
        <v/>
      </c>
      <c r="F105" s="15"/>
      <c r="G105" s="15"/>
      <c r="H105" s="15"/>
      <c r="I105" s="15"/>
      <c r="J105" s="15"/>
      <c r="K105" s="15"/>
      <c r="L105" s="15"/>
      <c r="M105" s="18"/>
      <c r="N105" s="18"/>
    </row>
    <row r="106" spans="1:14" ht="45.75" thickBot="1" x14ac:dyDescent="0.25">
      <c r="A106" s="37" t="s">
        <v>198</v>
      </c>
      <c r="B106" s="38" t="s">
        <v>199</v>
      </c>
      <c r="C106" s="39"/>
      <c r="D106" s="40"/>
      <c r="E106" s="41" t="str">
        <f>IF(C106="","",(VLOOKUP(C106,'CRITERIOS DE CALIFICACIÓN'!$B$2:$C$11,2,FALSE)))</f>
        <v/>
      </c>
      <c r="F106" s="15"/>
      <c r="G106" s="15"/>
      <c r="H106" s="15"/>
      <c r="I106" s="15"/>
      <c r="J106" s="15"/>
      <c r="K106" s="15"/>
      <c r="L106" s="15"/>
      <c r="M106" s="18"/>
      <c r="N106" s="18"/>
    </row>
    <row r="107" spans="1:14" ht="39.950000000000003" customHeight="1" thickBot="1" x14ac:dyDescent="0.25">
      <c r="A107" s="32" t="s">
        <v>200</v>
      </c>
      <c r="B107" s="33" t="s">
        <v>201</v>
      </c>
      <c r="C107" s="34"/>
      <c r="D107" s="35"/>
      <c r="E107" s="36" t="str">
        <f>IF(C107="","",(VLOOKUP(C107,'CRITERIOS DE CALIFICACIÓN'!$B$2:$C$11,2,FALSE)))</f>
        <v/>
      </c>
      <c r="F107" s="15"/>
      <c r="G107" s="15"/>
      <c r="H107" s="15"/>
      <c r="I107" s="15"/>
      <c r="J107" s="15"/>
      <c r="K107" s="15"/>
      <c r="L107" s="15"/>
      <c r="M107" s="18"/>
      <c r="N107" s="18"/>
    </row>
    <row r="108" spans="1:14" ht="70.5" customHeight="1" thickBot="1" x14ac:dyDescent="0.25">
      <c r="A108" s="37" t="s">
        <v>202</v>
      </c>
      <c r="B108" s="38" t="s">
        <v>203</v>
      </c>
      <c r="C108" s="39"/>
      <c r="D108" s="40"/>
      <c r="E108" s="41" t="str">
        <f>IF(C108="","",(VLOOKUP(C108,'CRITERIOS DE CALIFICACIÓN'!$B$2:$C$11,2,FALSE)))</f>
        <v/>
      </c>
      <c r="F108" s="15"/>
      <c r="G108" s="15"/>
      <c r="H108" s="15"/>
      <c r="I108" s="15"/>
      <c r="J108" s="15"/>
      <c r="K108" s="15"/>
      <c r="L108" s="15"/>
      <c r="M108" s="18"/>
      <c r="N108" s="18"/>
    </row>
    <row r="109" spans="1:14" ht="39.950000000000003" customHeight="1" thickBot="1" x14ac:dyDescent="0.25">
      <c r="A109" s="32" t="s">
        <v>204</v>
      </c>
      <c r="B109" s="33" t="s">
        <v>205</v>
      </c>
      <c r="C109" s="34"/>
      <c r="D109" s="35"/>
      <c r="E109" s="36" t="str">
        <f>IF(C109="","",(VLOOKUP(C109,'CRITERIOS DE CALIFICACIÓN'!$B$2:$C$11,2,FALSE)))</f>
        <v/>
      </c>
      <c r="F109" s="15"/>
      <c r="G109" s="15"/>
      <c r="H109" s="15"/>
      <c r="I109" s="15"/>
      <c r="J109" s="15"/>
      <c r="K109" s="15"/>
      <c r="L109" s="15"/>
      <c r="M109" s="18"/>
      <c r="N109" s="18"/>
    </row>
    <row r="110" spans="1:14" ht="48.75" customHeight="1" thickBot="1" x14ac:dyDescent="0.25">
      <c r="A110" s="37" t="s">
        <v>206</v>
      </c>
      <c r="B110" s="38" t="s">
        <v>207</v>
      </c>
      <c r="C110" s="39"/>
      <c r="D110" s="40"/>
      <c r="E110" s="41" t="str">
        <f>IF(C110="","",(VLOOKUP(C110,'CRITERIOS DE CALIFICACIÓN'!$B$2:$C$11,2,FALSE)))</f>
        <v/>
      </c>
      <c r="F110" s="15"/>
      <c r="G110" s="15"/>
      <c r="H110" s="15"/>
      <c r="I110" s="15"/>
      <c r="J110" s="15"/>
      <c r="K110" s="15"/>
      <c r="L110" s="15"/>
      <c r="M110" s="18"/>
      <c r="N110" s="18"/>
    </row>
    <row r="111" spans="1:14" ht="60" customHeight="1" thickBot="1" x14ac:dyDescent="0.25">
      <c r="A111" s="32" t="s">
        <v>208</v>
      </c>
      <c r="B111" s="33" t="s">
        <v>209</v>
      </c>
      <c r="C111" s="34"/>
      <c r="D111" s="35"/>
      <c r="E111" s="36" t="str">
        <f>IF(C111="","",(VLOOKUP(C111,'CRITERIOS DE CALIFICACIÓN'!$B$2:$C$11,2,FALSE)))</f>
        <v/>
      </c>
      <c r="F111" s="15"/>
      <c r="G111" s="15"/>
      <c r="H111" s="15"/>
      <c r="I111" s="15"/>
      <c r="J111" s="15"/>
      <c r="K111" s="15"/>
      <c r="L111" s="15"/>
      <c r="M111" s="18"/>
      <c r="N111" s="18"/>
    </row>
    <row r="112" spans="1:14" ht="60" customHeight="1" thickBot="1" x14ac:dyDescent="0.25">
      <c r="A112" s="37" t="s">
        <v>210</v>
      </c>
      <c r="B112" s="38" t="s">
        <v>211</v>
      </c>
      <c r="C112" s="39"/>
      <c r="D112" s="40"/>
      <c r="E112" s="41" t="str">
        <f>IF(C112="","",(VLOOKUP(C112,'CRITERIOS DE CALIFICACIÓN'!$B$2:$C$11,2,FALSE)))</f>
        <v/>
      </c>
      <c r="F112" s="15"/>
      <c r="G112" s="15"/>
      <c r="H112" s="15"/>
      <c r="I112" s="15"/>
      <c r="J112" s="15"/>
      <c r="K112" s="15"/>
      <c r="L112" s="15"/>
      <c r="M112" s="18"/>
      <c r="N112" s="18"/>
    </row>
    <row r="113" spans="1:14" ht="39.950000000000003" customHeight="1" thickBot="1" x14ac:dyDescent="0.25">
      <c r="A113" s="32" t="s">
        <v>212</v>
      </c>
      <c r="B113" s="33" t="s">
        <v>213</v>
      </c>
      <c r="C113" s="34"/>
      <c r="D113" s="35"/>
      <c r="E113" s="36" t="str">
        <f>IF(C113="","",(VLOOKUP(C113,'CRITERIOS DE CALIFICACIÓN'!$B$2:$C$11,2,FALSE)))</f>
        <v/>
      </c>
      <c r="F113" s="15"/>
      <c r="G113" s="15"/>
      <c r="H113" s="15"/>
      <c r="I113" s="15"/>
      <c r="J113" s="15"/>
      <c r="K113" s="15"/>
      <c r="L113" s="15"/>
      <c r="M113" s="18"/>
      <c r="N113" s="18"/>
    </row>
    <row r="114" spans="1:14" ht="60" customHeight="1" thickBot="1" x14ac:dyDescent="0.25">
      <c r="A114" s="37" t="s">
        <v>214</v>
      </c>
      <c r="B114" s="38" t="s">
        <v>215</v>
      </c>
      <c r="C114" s="39"/>
      <c r="D114" s="40"/>
      <c r="E114" s="41" t="str">
        <f>IF(C114="","",(VLOOKUP(C114,'CRITERIOS DE CALIFICACIÓN'!$B$2:$C$11,2,FALSE)))</f>
        <v/>
      </c>
      <c r="F114" s="15"/>
      <c r="G114" s="15"/>
      <c r="H114" s="15"/>
      <c r="I114" s="15"/>
      <c r="J114" s="15"/>
      <c r="K114" s="15"/>
      <c r="L114" s="15"/>
      <c r="M114" s="18"/>
      <c r="N114" s="18"/>
    </row>
    <row r="115" spans="1:14" ht="39.950000000000003" customHeight="1" thickBot="1" x14ac:dyDescent="0.25">
      <c r="A115" s="32" t="s">
        <v>216</v>
      </c>
      <c r="B115" s="33" t="s">
        <v>217</v>
      </c>
      <c r="C115" s="34"/>
      <c r="D115" s="35"/>
      <c r="E115" s="36" t="str">
        <f>IF(C115="","",(VLOOKUP(C115,'CRITERIOS DE CALIFICACIÓN'!$B$2:$C$11,2,FALSE)))</f>
        <v/>
      </c>
      <c r="F115" s="15"/>
      <c r="G115" s="15"/>
      <c r="H115" s="15"/>
      <c r="I115" s="15"/>
      <c r="J115" s="15"/>
      <c r="K115" s="15"/>
      <c r="L115" s="15"/>
      <c r="M115" s="18"/>
      <c r="N115" s="18"/>
    </row>
    <row r="116" spans="1:14" ht="39.950000000000003" customHeight="1" thickBot="1" x14ac:dyDescent="0.25">
      <c r="A116" s="61" t="s">
        <v>218</v>
      </c>
      <c r="B116" s="62"/>
      <c r="C116" s="62"/>
      <c r="D116" s="62"/>
      <c r="E116" s="44" t="e">
        <f>AVERAGE(E117:E126)</f>
        <v>#DIV/0!</v>
      </c>
      <c r="F116" s="15"/>
      <c r="G116" s="15"/>
      <c r="H116" s="15"/>
      <c r="I116" s="15"/>
      <c r="J116" s="15"/>
      <c r="K116" s="15"/>
      <c r="L116" s="15"/>
      <c r="M116" s="18"/>
      <c r="N116" s="18"/>
    </row>
    <row r="117" spans="1:14" ht="60" customHeight="1" thickBot="1" x14ac:dyDescent="0.25">
      <c r="A117" s="32" t="s">
        <v>219</v>
      </c>
      <c r="B117" s="33" t="s">
        <v>220</v>
      </c>
      <c r="C117" s="34"/>
      <c r="D117" s="35"/>
      <c r="E117" s="36" t="str">
        <f>IF(C117="","",(VLOOKUP(C117,'CRITERIOS DE CALIFICACIÓN'!$B$2:$C$11,2,FALSE)))</f>
        <v/>
      </c>
      <c r="F117" s="15"/>
      <c r="G117" s="15"/>
      <c r="H117" s="15"/>
      <c r="I117" s="15"/>
      <c r="J117" s="15"/>
      <c r="K117" s="15"/>
      <c r="L117" s="15"/>
      <c r="M117" s="18"/>
      <c r="N117" s="18"/>
    </row>
    <row r="118" spans="1:14" ht="60" customHeight="1" thickBot="1" x14ac:dyDescent="0.25">
      <c r="A118" s="37" t="s">
        <v>221</v>
      </c>
      <c r="B118" s="38" t="s">
        <v>222</v>
      </c>
      <c r="C118" s="39"/>
      <c r="D118" s="40"/>
      <c r="E118" s="41" t="str">
        <f>IF(C118="","",(VLOOKUP(C118,'CRITERIOS DE CALIFICACIÓN'!$B$2:$C$11,2,FALSE)))</f>
        <v/>
      </c>
      <c r="F118" s="15"/>
      <c r="G118" s="15"/>
      <c r="H118" s="15"/>
      <c r="I118" s="15"/>
      <c r="J118" s="15"/>
      <c r="K118" s="15"/>
      <c r="L118" s="15"/>
      <c r="M118" s="18"/>
      <c r="N118" s="18"/>
    </row>
    <row r="119" spans="1:14" ht="60" customHeight="1" thickBot="1" x14ac:dyDescent="0.25">
      <c r="A119" s="32" t="s">
        <v>223</v>
      </c>
      <c r="B119" s="33" t="s">
        <v>224</v>
      </c>
      <c r="C119" s="34"/>
      <c r="D119" s="35"/>
      <c r="E119" s="36" t="str">
        <f>IF(C119="","",(VLOOKUP(C119,'CRITERIOS DE CALIFICACIÓN'!$B$2:$C$11,2,FALSE)))</f>
        <v/>
      </c>
      <c r="F119" s="15"/>
      <c r="G119" s="15"/>
      <c r="H119" s="15"/>
      <c r="I119" s="15"/>
      <c r="J119" s="15"/>
      <c r="K119" s="15"/>
      <c r="L119" s="15"/>
      <c r="M119" s="18"/>
      <c r="N119" s="18"/>
    </row>
    <row r="120" spans="1:14" ht="80.099999999999994" customHeight="1" thickBot="1" x14ac:dyDescent="0.25">
      <c r="A120" s="37" t="s">
        <v>225</v>
      </c>
      <c r="B120" s="38" t="s">
        <v>226</v>
      </c>
      <c r="C120" s="39"/>
      <c r="D120" s="40"/>
      <c r="E120" s="41" t="str">
        <f>IF(C120="","",(VLOOKUP(C120,'CRITERIOS DE CALIFICACIÓN'!$B$2:$C$11,2,FALSE)))</f>
        <v/>
      </c>
      <c r="F120" s="15"/>
      <c r="G120" s="15"/>
      <c r="H120" s="15"/>
      <c r="I120" s="15"/>
      <c r="J120" s="15"/>
      <c r="K120" s="15"/>
      <c r="L120" s="15"/>
      <c r="M120" s="18"/>
      <c r="N120" s="18"/>
    </row>
    <row r="121" spans="1:14" ht="60" customHeight="1" thickBot="1" x14ac:dyDescent="0.25">
      <c r="A121" s="32" t="s">
        <v>227</v>
      </c>
      <c r="B121" s="33" t="s">
        <v>228</v>
      </c>
      <c r="C121" s="34"/>
      <c r="D121" s="35"/>
      <c r="E121" s="36" t="str">
        <f>IF(C121="","",(VLOOKUP(C121,'CRITERIOS DE CALIFICACIÓN'!$B$2:$C$11,2,FALSE)))</f>
        <v/>
      </c>
      <c r="F121" s="15"/>
      <c r="G121" s="15"/>
      <c r="H121" s="15"/>
      <c r="I121" s="15"/>
      <c r="J121" s="15"/>
      <c r="K121" s="15"/>
      <c r="L121" s="15"/>
      <c r="M121" s="18"/>
      <c r="N121" s="18"/>
    </row>
    <row r="122" spans="1:14" ht="60" customHeight="1" thickBot="1" x14ac:dyDescent="0.25">
      <c r="A122" s="37" t="s">
        <v>229</v>
      </c>
      <c r="B122" s="38" t="s">
        <v>230</v>
      </c>
      <c r="C122" s="39"/>
      <c r="D122" s="40"/>
      <c r="E122" s="41" t="str">
        <f>IF(C122="","",(VLOOKUP(C122,'CRITERIOS DE CALIFICACIÓN'!$B$2:$C$11,2,FALSE)))</f>
        <v/>
      </c>
      <c r="F122" s="15"/>
      <c r="G122" s="15"/>
      <c r="H122" s="15"/>
      <c r="I122" s="15"/>
      <c r="J122" s="15"/>
      <c r="K122" s="15"/>
      <c r="L122" s="15"/>
      <c r="M122" s="18"/>
      <c r="N122" s="18"/>
    </row>
    <row r="123" spans="1:14" ht="60" customHeight="1" thickBot="1" x14ac:dyDescent="0.25">
      <c r="A123" s="32" t="s">
        <v>231</v>
      </c>
      <c r="B123" s="33" t="s">
        <v>232</v>
      </c>
      <c r="C123" s="34"/>
      <c r="D123" s="35"/>
      <c r="E123" s="36" t="str">
        <f>IF(C123="","",(VLOOKUP(C123,'CRITERIOS DE CALIFICACIÓN'!$B$2:$C$11,2,FALSE)))</f>
        <v/>
      </c>
      <c r="F123" s="15"/>
      <c r="G123" s="15"/>
      <c r="H123" s="15"/>
      <c r="I123" s="15"/>
      <c r="J123" s="15"/>
      <c r="K123" s="15"/>
      <c r="L123" s="15"/>
      <c r="M123" s="18"/>
      <c r="N123" s="18"/>
    </row>
    <row r="124" spans="1:14" ht="60" customHeight="1" thickBot="1" x14ac:dyDescent="0.25">
      <c r="A124" s="37" t="s">
        <v>233</v>
      </c>
      <c r="B124" s="38" t="s">
        <v>234</v>
      </c>
      <c r="C124" s="39"/>
      <c r="D124" s="40"/>
      <c r="E124" s="41" t="str">
        <f>IF(C124="","",(VLOOKUP(C124,'CRITERIOS DE CALIFICACIÓN'!$B$2:$C$11,2,FALSE)))</f>
        <v/>
      </c>
      <c r="F124" s="15"/>
      <c r="G124" s="15"/>
      <c r="H124" s="15"/>
      <c r="I124" s="15"/>
      <c r="J124" s="15"/>
      <c r="K124" s="15"/>
      <c r="L124" s="15"/>
      <c r="M124" s="18"/>
      <c r="N124" s="18"/>
    </row>
    <row r="125" spans="1:14" ht="46.5" customHeight="1" thickBot="1" x14ac:dyDescent="0.25">
      <c r="A125" s="32" t="s">
        <v>235</v>
      </c>
      <c r="B125" s="33" t="s">
        <v>236</v>
      </c>
      <c r="C125" s="34"/>
      <c r="D125" s="35"/>
      <c r="E125" s="36" t="str">
        <f>IF(C125="","",(VLOOKUP(C125,'CRITERIOS DE CALIFICACIÓN'!$B$2:$C$11,2,FALSE)))</f>
        <v/>
      </c>
      <c r="F125" s="15"/>
      <c r="G125" s="15"/>
      <c r="H125" s="15"/>
      <c r="I125" s="15"/>
      <c r="J125" s="15"/>
      <c r="K125" s="15"/>
      <c r="L125" s="15"/>
      <c r="M125" s="18"/>
      <c r="N125" s="18"/>
    </row>
    <row r="126" spans="1:14" ht="60" customHeight="1" thickBot="1" x14ac:dyDescent="0.25">
      <c r="A126" s="37" t="s">
        <v>237</v>
      </c>
      <c r="B126" s="38" t="s">
        <v>238</v>
      </c>
      <c r="C126" s="39"/>
      <c r="D126" s="40"/>
      <c r="E126" s="41" t="str">
        <f>IF(C126="","",(VLOOKUP(C126,'CRITERIOS DE CALIFICACIÓN'!$B$2:$C$11,2,FALSE)))</f>
        <v/>
      </c>
      <c r="F126" s="15"/>
      <c r="G126" s="15"/>
      <c r="H126" s="15"/>
      <c r="I126" s="15"/>
      <c r="J126" s="15"/>
      <c r="K126" s="15"/>
      <c r="L126" s="15"/>
      <c r="M126" s="18"/>
      <c r="N126" s="18"/>
    </row>
    <row r="127" spans="1:14" ht="39.950000000000003" customHeight="1" thickBot="1" x14ac:dyDescent="0.25">
      <c r="A127" s="61" t="s">
        <v>239</v>
      </c>
      <c r="B127" s="62"/>
      <c r="C127" s="62"/>
      <c r="D127" s="62"/>
      <c r="E127" s="44" t="e">
        <f>AVERAGE(E128:E130)</f>
        <v>#DIV/0!</v>
      </c>
      <c r="F127" s="15"/>
      <c r="G127" s="15"/>
      <c r="H127" s="15"/>
      <c r="I127" s="15"/>
      <c r="J127" s="15"/>
      <c r="K127" s="15"/>
      <c r="L127" s="15"/>
      <c r="M127" s="18"/>
      <c r="N127" s="18"/>
    </row>
    <row r="128" spans="1:14" ht="60" customHeight="1" thickBot="1" x14ac:dyDescent="0.25">
      <c r="A128" s="32" t="s">
        <v>240</v>
      </c>
      <c r="B128" s="33" t="s">
        <v>241</v>
      </c>
      <c r="C128" s="34"/>
      <c r="D128" s="35"/>
      <c r="E128" s="36" t="str">
        <f>IF(C128="","",(VLOOKUP(C128,'CRITERIOS DE CALIFICACIÓN'!$B$2:$C$11,2,FALSE)))</f>
        <v/>
      </c>
      <c r="F128" s="15"/>
      <c r="G128" s="15"/>
      <c r="H128" s="15"/>
      <c r="I128" s="15"/>
      <c r="J128" s="15"/>
      <c r="K128" s="15"/>
      <c r="L128" s="15"/>
      <c r="M128" s="18"/>
      <c r="N128" s="18"/>
    </row>
    <row r="129" spans="1:14" ht="60" customHeight="1" thickBot="1" x14ac:dyDescent="0.25">
      <c r="A129" s="37" t="s">
        <v>242</v>
      </c>
      <c r="B129" s="38" t="s">
        <v>243</v>
      </c>
      <c r="C129" s="39"/>
      <c r="D129" s="40"/>
      <c r="E129" s="41" t="str">
        <f>IF(C129="","",(VLOOKUP(C129,'CRITERIOS DE CALIFICACIÓN'!$B$2:$C$11,2,FALSE)))</f>
        <v/>
      </c>
      <c r="F129" s="15"/>
      <c r="G129" s="15"/>
      <c r="H129" s="15"/>
      <c r="I129" s="15"/>
      <c r="J129" s="15"/>
      <c r="K129" s="15"/>
      <c r="L129" s="15"/>
      <c r="M129" s="18"/>
      <c r="N129" s="18"/>
    </row>
    <row r="130" spans="1:14" ht="60" customHeight="1" thickBot="1" x14ac:dyDescent="0.25">
      <c r="A130" s="32" t="s">
        <v>244</v>
      </c>
      <c r="B130" s="33" t="s">
        <v>245</v>
      </c>
      <c r="C130" s="34"/>
      <c r="D130" s="35"/>
      <c r="E130" s="36" t="str">
        <f>IF(C130="","",(VLOOKUP(C130,'CRITERIOS DE CALIFICACIÓN'!$B$2:$C$11,2,FALSE)))</f>
        <v/>
      </c>
      <c r="F130" s="15"/>
      <c r="G130" s="15"/>
      <c r="H130" s="15"/>
      <c r="I130" s="15"/>
      <c r="J130" s="15"/>
      <c r="K130" s="15"/>
      <c r="L130" s="15"/>
      <c r="M130" s="18"/>
      <c r="N130" s="18"/>
    </row>
    <row r="131" spans="1:14" ht="24.95" customHeight="1" thickBot="1" x14ac:dyDescent="0.25">
      <c r="A131" s="61" t="s">
        <v>246</v>
      </c>
      <c r="B131" s="62"/>
      <c r="C131" s="62"/>
      <c r="D131" s="62"/>
      <c r="E131" s="44" t="e">
        <f>AVERAGE(E132:E142)</f>
        <v>#DIV/0!</v>
      </c>
      <c r="F131" s="15"/>
      <c r="G131" s="15"/>
      <c r="H131" s="15"/>
      <c r="I131" s="15"/>
      <c r="J131" s="15"/>
      <c r="K131" s="15"/>
      <c r="L131" s="15"/>
      <c r="M131" s="18"/>
      <c r="N131" s="18"/>
    </row>
    <row r="132" spans="1:14" ht="39.950000000000003" customHeight="1" thickBot="1" x14ac:dyDescent="0.25">
      <c r="A132" s="32" t="s">
        <v>247</v>
      </c>
      <c r="B132" s="33" t="s">
        <v>248</v>
      </c>
      <c r="C132" s="34"/>
      <c r="D132" s="35"/>
      <c r="E132" s="36" t="str">
        <f>IF(C132="","",(VLOOKUP(C132,'CRITERIOS DE CALIFICACIÓN'!$B$2:$C$11,2,FALSE)))</f>
        <v/>
      </c>
      <c r="F132" s="15"/>
      <c r="G132" s="15"/>
      <c r="H132" s="15"/>
      <c r="I132" s="15"/>
      <c r="J132" s="15"/>
      <c r="K132" s="15"/>
      <c r="L132" s="15"/>
      <c r="M132" s="18"/>
      <c r="N132" s="18"/>
    </row>
    <row r="133" spans="1:14" ht="51.75" customHeight="1" thickBot="1" x14ac:dyDescent="0.25">
      <c r="A133" s="37" t="s">
        <v>249</v>
      </c>
      <c r="B133" s="38" t="s">
        <v>250</v>
      </c>
      <c r="C133" s="39"/>
      <c r="D133" s="40"/>
      <c r="E133" s="41" t="str">
        <f>IF(C133="","",(VLOOKUP(C133,'CRITERIOS DE CALIFICACIÓN'!$B$2:$C$11,2,FALSE)))</f>
        <v/>
      </c>
      <c r="F133" s="15"/>
      <c r="G133" s="15"/>
      <c r="H133" s="15"/>
      <c r="I133" s="15"/>
      <c r="J133" s="15"/>
      <c r="K133" s="15"/>
      <c r="L133" s="15"/>
      <c r="M133" s="18"/>
      <c r="N133" s="18"/>
    </row>
    <row r="134" spans="1:14" ht="39.950000000000003" customHeight="1" thickBot="1" x14ac:dyDescent="0.25">
      <c r="A134" s="32" t="s">
        <v>251</v>
      </c>
      <c r="B134" s="33" t="s">
        <v>252</v>
      </c>
      <c r="C134" s="34"/>
      <c r="D134" s="35"/>
      <c r="E134" s="36" t="str">
        <f>IF(C134="","",(VLOOKUP(C134,'CRITERIOS DE CALIFICACIÓN'!$B$2:$C$11,2,FALSE)))</f>
        <v/>
      </c>
      <c r="F134" s="15"/>
      <c r="G134" s="15"/>
      <c r="H134" s="15"/>
      <c r="I134" s="15"/>
      <c r="J134" s="15"/>
      <c r="K134" s="15"/>
      <c r="L134" s="15"/>
      <c r="M134" s="18"/>
      <c r="N134" s="18"/>
    </row>
    <row r="135" spans="1:14" ht="60" customHeight="1" thickBot="1" x14ac:dyDescent="0.25">
      <c r="A135" s="37" t="s">
        <v>253</v>
      </c>
      <c r="B135" s="38" t="s">
        <v>254</v>
      </c>
      <c r="C135" s="39"/>
      <c r="D135" s="40"/>
      <c r="E135" s="41" t="str">
        <f>IF(C135="","",(VLOOKUP(C135,'CRITERIOS DE CALIFICACIÓN'!$B$2:$C$11,2,FALSE)))</f>
        <v/>
      </c>
      <c r="F135" s="15"/>
      <c r="G135" s="15"/>
      <c r="H135" s="15"/>
      <c r="I135" s="15"/>
      <c r="J135" s="15"/>
      <c r="K135" s="15"/>
      <c r="L135" s="15"/>
      <c r="M135" s="18"/>
      <c r="N135" s="18"/>
    </row>
    <row r="136" spans="1:14" ht="39.950000000000003" customHeight="1" thickBot="1" x14ac:dyDescent="0.25">
      <c r="A136" s="32" t="s">
        <v>255</v>
      </c>
      <c r="B136" s="33" t="s">
        <v>256</v>
      </c>
      <c r="C136" s="34"/>
      <c r="D136" s="35"/>
      <c r="E136" s="36" t="str">
        <f>IF(C136="","",(VLOOKUP(C136,'CRITERIOS DE CALIFICACIÓN'!$B$2:$C$11,2,FALSE)))</f>
        <v/>
      </c>
      <c r="F136" s="15"/>
      <c r="G136" s="15"/>
      <c r="H136" s="15"/>
      <c r="I136" s="15"/>
      <c r="J136" s="15"/>
      <c r="K136" s="15"/>
      <c r="L136" s="15"/>
      <c r="M136" s="18"/>
      <c r="N136" s="18"/>
    </row>
    <row r="137" spans="1:14" ht="60" customHeight="1" thickBot="1" x14ac:dyDescent="0.25">
      <c r="A137" s="37" t="s">
        <v>257</v>
      </c>
      <c r="B137" s="38" t="s">
        <v>258</v>
      </c>
      <c r="C137" s="39"/>
      <c r="D137" s="40"/>
      <c r="E137" s="41" t="str">
        <f>IF(C137="","",(VLOOKUP(C137,'CRITERIOS DE CALIFICACIÓN'!$B$2:$C$11,2,FALSE)))</f>
        <v/>
      </c>
      <c r="F137" s="15"/>
      <c r="G137" s="15"/>
      <c r="H137" s="15"/>
      <c r="I137" s="15"/>
      <c r="J137" s="15"/>
      <c r="K137" s="15"/>
      <c r="L137" s="15"/>
      <c r="M137" s="18"/>
      <c r="N137" s="18"/>
    </row>
    <row r="138" spans="1:14" ht="39.950000000000003" customHeight="1" thickBot="1" x14ac:dyDescent="0.25">
      <c r="A138" s="32" t="s">
        <v>259</v>
      </c>
      <c r="B138" s="33" t="s">
        <v>260</v>
      </c>
      <c r="C138" s="34"/>
      <c r="D138" s="35"/>
      <c r="E138" s="36" t="str">
        <f>IF(C138="","",(VLOOKUP(C138,'CRITERIOS DE CALIFICACIÓN'!$B$2:$C$11,2,FALSE)))</f>
        <v/>
      </c>
      <c r="F138" s="15"/>
      <c r="G138" s="15"/>
      <c r="H138" s="15"/>
      <c r="I138" s="15"/>
      <c r="J138" s="15"/>
      <c r="K138" s="15"/>
      <c r="L138" s="15"/>
      <c r="M138" s="18"/>
      <c r="N138" s="18"/>
    </row>
    <row r="139" spans="1:14" ht="60" customHeight="1" thickBot="1" x14ac:dyDescent="0.25">
      <c r="A139" s="37" t="s">
        <v>261</v>
      </c>
      <c r="B139" s="38" t="s">
        <v>262</v>
      </c>
      <c r="C139" s="39"/>
      <c r="D139" s="40"/>
      <c r="E139" s="41" t="str">
        <f>IF(C139="","",(VLOOKUP(C139,'CRITERIOS DE CALIFICACIÓN'!$B$2:$C$11,2,FALSE)))</f>
        <v/>
      </c>
      <c r="F139" s="15"/>
      <c r="G139" s="15"/>
      <c r="H139" s="15"/>
      <c r="I139" s="15"/>
      <c r="J139" s="15"/>
      <c r="K139" s="15"/>
      <c r="L139" s="15"/>
      <c r="M139" s="18"/>
      <c r="N139" s="18"/>
    </row>
    <row r="140" spans="1:14" ht="60" customHeight="1" thickBot="1" x14ac:dyDescent="0.25">
      <c r="A140" s="32" t="s">
        <v>263</v>
      </c>
      <c r="B140" s="33" t="s">
        <v>264</v>
      </c>
      <c r="C140" s="34"/>
      <c r="D140" s="35"/>
      <c r="E140" s="36" t="str">
        <f>IF(C140="","",(VLOOKUP(C140,'CRITERIOS DE CALIFICACIÓN'!$B$2:$C$11,2,FALSE)))</f>
        <v/>
      </c>
      <c r="F140" s="15"/>
      <c r="G140" s="15"/>
      <c r="H140" s="15"/>
      <c r="I140" s="15"/>
      <c r="J140" s="15"/>
      <c r="K140" s="15"/>
      <c r="L140" s="15"/>
      <c r="M140" s="18"/>
      <c r="N140" s="18"/>
    </row>
    <row r="141" spans="1:14" ht="39.950000000000003" customHeight="1" thickBot="1" x14ac:dyDescent="0.25">
      <c r="A141" s="37" t="s">
        <v>265</v>
      </c>
      <c r="B141" s="38" t="s">
        <v>266</v>
      </c>
      <c r="C141" s="39"/>
      <c r="D141" s="40"/>
      <c r="E141" s="41" t="str">
        <f>IF(C141="","",(VLOOKUP(C141,'CRITERIOS DE CALIFICACIÓN'!$B$2:$C$11,2,FALSE)))</f>
        <v/>
      </c>
      <c r="F141" s="15"/>
      <c r="G141" s="15"/>
      <c r="H141" s="15"/>
      <c r="I141" s="15"/>
      <c r="J141" s="15"/>
      <c r="K141" s="15"/>
      <c r="L141" s="15"/>
      <c r="M141" s="18"/>
      <c r="N141" s="18"/>
    </row>
    <row r="142" spans="1:14" ht="45.75" thickBot="1" x14ac:dyDescent="0.25">
      <c r="A142" s="32" t="s">
        <v>267</v>
      </c>
      <c r="B142" s="33" t="s">
        <v>268</v>
      </c>
      <c r="C142" s="34"/>
      <c r="D142" s="35"/>
      <c r="E142" s="36" t="str">
        <f>IF(C142="","",(VLOOKUP(C142,'CRITERIOS DE CALIFICACIÓN'!$B$2:$C$11,2,FALSE)))</f>
        <v/>
      </c>
      <c r="F142" s="15"/>
      <c r="G142" s="15"/>
      <c r="H142" s="15"/>
      <c r="I142" s="15"/>
      <c r="J142" s="15"/>
      <c r="K142" s="15"/>
      <c r="L142" s="15"/>
      <c r="M142" s="18"/>
      <c r="N142" s="18"/>
    </row>
    <row r="143" spans="1:14" ht="24.95" customHeight="1" thickBot="1" x14ac:dyDescent="0.25">
      <c r="A143" s="61" t="s">
        <v>269</v>
      </c>
      <c r="B143" s="62"/>
      <c r="C143" s="62"/>
      <c r="D143" s="62"/>
      <c r="E143" s="44" t="e">
        <f>AVERAGE(E144:E150)</f>
        <v>#DIV/0!</v>
      </c>
      <c r="F143" s="15"/>
      <c r="G143" s="15"/>
      <c r="H143" s="15"/>
      <c r="I143" s="15"/>
      <c r="J143" s="15"/>
      <c r="K143" s="15"/>
      <c r="L143" s="15"/>
      <c r="M143" s="18"/>
      <c r="N143" s="18"/>
    </row>
    <row r="144" spans="1:14" ht="39.950000000000003" customHeight="1" thickBot="1" x14ac:dyDescent="0.25">
      <c r="A144" s="32" t="s">
        <v>270</v>
      </c>
      <c r="B144" s="33" t="s">
        <v>271</v>
      </c>
      <c r="C144" s="34"/>
      <c r="D144" s="35"/>
      <c r="E144" s="36" t="str">
        <f>IF(C144="","",(VLOOKUP(C144,'CRITERIOS DE CALIFICACIÓN'!$B$2:$C$11,2,FALSE)))</f>
        <v/>
      </c>
      <c r="F144" s="15"/>
      <c r="G144" s="15"/>
      <c r="H144" s="15"/>
      <c r="I144" s="15"/>
      <c r="J144" s="15"/>
      <c r="K144" s="15"/>
      <c r="L144" s="15"/>
      <c r="M144" s="18"/>
      <c r="N144" s="18"/>
    </row>
    <row r="145" spans="1:14" ht="39.950000000000003" customHeight="1" thickBot="1" x14ac:dyDescent="0.25">
      <c r="A145" s="37" t="s">
        <v>272</v>
      </c>
      <c r="B145" s="38" t="s">
        <v>273</v>
      </c>
      <c r="C145" s="39"/>
      <c r="D145" s="40"/>
      <c r="E145" s="41" t="str">
        <f>IF(C145="","",(VLOOKUP(C145,'CRITERIOS DE CALIFICACIÓN'!$B$2:$C$11,2,FALSE)))</f>
        <v/>
      </c>
      <c r="F145" s="15"/>
      <c r="G145" s="15"/>
      <c r="H145" s="15"/>
      <c r="I145" s="15"/>
      <c r="J145" s="15"/>
      <c r="K145" s="15"/>
      <c r="L145" s="15"/>
      <c r="M145" s="18"/>
      <c r="N145" s="18"/>
    </row>
    <row r="146" spans="1:14" ht="39.950000000000003" customHeight="1" thickBot="1" x14ac:dyDescent="0.25">
      <c r="A146" s="32" t="s">
        <v>274</v>
      </c>
      <c r="B146" s="33" t="s">
        <v>275</v>
      </c>
      <c r="C146" s="34"/>
      <c r="D146" s="35"/>
      <c r="E146" s="36" t="str">
        <f>IF(C146="","",(VLOOKUP(C146,'CRITERIOS DE CALIFICACIÓN'!$B$2:$C$11,2,FALSE)))</f>
        <v/>
      </c>
      <c r="F146" s="15"/>
      <c r="G146" s="15"/>
      <c r="H146" s="15"/>
      <c r="I146" s="15"/>
      <c r="J146" s="15"/>
      <c r="K146" s="15"/>
      <c r="L146" s="15"/>
      <c r="M146" s="18"/>
      <c r="N146" s="18"/>
    </row>
    <row r="147" spans="1:14" ht="39.950000000000003" customHeight="1" thickBot="1" x14ac:dyDescent="0.25">
      <c r="A147" s="37" t="s">
        <v>276</v>
      </c>
      <c r="B147" s="38" t="s">
        <v>277</v>
      </c>
      <c r="C147" s="39"/>
      <c r="D147" s="40"/>
      <c r="E147" s="41" t="str">
        <f>IF(C147="","",(VLOOKUP(C147,'CRITERIOS DE CALIFICACIÓN'!$B$2:$C$11,2,FALSE)))</f>
        <v/>
      </c>
      <c r="F147" s="15"/>
      <c r="G147" s="15"/>
      <c r="H147" s="15"/>
      <c r="I147" s="15"/>
      <c r="J147" s="15"/>
      <c r="K147" s="15"/>
      <c r="L147" s="15"/>
      <c r="M147" s="18"/>
      <c r="N147" s="18"/>
    </row>
    <row r="148" spans="1:14" ht="45.75" customHeight="1" thickBot="1" x14ac:dyDescent="0.25">
      <c r="A148" s="32" t="s">
        <v>278</v>
      </c>
      <c r="B148" s="33" t="s">
        <v>279</v>
      </c>
      <c r="C148" s="34"/>
      <c r="D148" s="35"/>
      <c r="E148" s="36" t="str">
        <f>IF(C148="","",(VLOOKUP(C148,'CRITERIOS DE CALIFICACIÓN'!$B$2:$C$11,2,FALSE)))</f>
        <v/>
      </c>
      <c r="F148" s="15"/>
      <c r="G148" s="15"/>
      <c r="H148" s="15"/>
      <c r="I148" s="15"/>
      <c r="J148" s="15"/>
      <c r="K148" s="15"/>
      <c r="L148" s="15"/>
      <c r="M148" s="18"/>
      <c r="N148" s="18"/>
    </row>
    <row r="149" spans="1:14" ht="39.950000000000003" customHeight="1" thickBot="1" x14ac:dyDescent="0.25">
      <c r="A149" s="37" t="s">
        <v>280</v>
      </c>
      <c r="B149" s="38" t="s">
        <v>281</v>
      </c>
      <c r="C149" s="39"/>
      <c r="D149" s="40"/>
      <c r="E149" s="41" t="str">
        <f>IF(C149="","",(VLOOKUP(C149,'CRITERIOS DE CALIFICACIÓN'!$B$2:$C$11,2,FALSE)))</f>
        <v/>
      </c>
      <c r="F149" s="15"/>
      <c r="G149" s="15"/>
      <c r="H149" s="15"/>
      <c r="I149" s="15"/>
      <c r="J149" s="15"/>
      <c r="K149" s="15"/>
      <c r="L149" s="15"/>
      <c r="M149" s="18"/>
      <c r="N149" s="18"/>
    </row>
    <row r="150" spans="1:14" ht="60" customHeight="1" thickBot="1" x14ac:dyDescent="0.25">
      <c r="A150" s="32" t="s">
        <v>282</v>
      </c>
      <c r="B150" s="33" t="s">
        <v>283</v>
      </c>
      <c r="C150" s="34"/>
      <c r="D150" s="35"/>
      <c r="E150" s="36" t="str">
        <f>IF(C150="","",(VLOOKUP(C150,'CRITERIOS DE CALIFICACIÓN'!$B$2:$C$11,2,FALSE)))</f>
        <v/>
      </c>
      <c r="F150" s="15"/>
      <c r="G150" s="15"/>
      <c r="H150" s="15"/>
      <c r="I150" s="15"/>
      <c r="J150" s="15"/>
      <c r="K150" s="15"/>
      <c r="L150" s="15"/>
      <c r="M150" s="18"/>
      <c r="N150" s="18"/>
    </row>
    <row r="151" spans="1:14" x14ac:dyDescent="0.2">
      <c r="A151" s="10"/>
      <c r="B151" s="10"/>
      <c r="C151" s="9"/>
      <c r="D151" s="9"/>
      <c r="E151" s="11"/>
      <c r="F151" s="15"/>
      <c r="G151" s="15"/>
      <c r="H151" s="15"/>
      <c r="I151" s="15"/>
      <c r="J151" s="15"/>
      <c r="K151" s="15"/>
      <c r="L151" s="15"/>
      <c r="M151" s="18"/>
      <c r="N151" s="18"/>
    </row>
    <row r="152" spans="1:14" x14ac:dyDescent="0.2">
      <c r="A152" s="10"/>
      <c r="B152" s="10"/>
      <c r="C152" s="9"/>
      <c r="D152" s="9"/>
      <c r="E152" s="11"/>
      <c r="F152" s="15"/>
      <c r="G152" s="15"/>
      <c r="H152" s="15"/>
      <c r="I152" s="15"/>
      <c r="J152" s="15"/>
      <c r="K152" s="15"/>
      <c r="L152" s="15"/>
      <c r="M152" s="18"/>
      <c r="N152" s="18"/>
    </row>
    <row r="153" spans="1:14" x14ac:dyDescent="0.2">
      <c r="A153" s="10"/>
      <c r="B153" s="10"/>
      <c r="C153" s="9"/>
      <c r="D153" s="9"/>
      <c r="E153" s="11"/>
      <c r="F153" s="15"/>
      <c r="G153" s="15"/>
      <c r="H153" s="15"/>
      <c r="I153" s="15"/>
      <c r="J153" s="15"/>
      <c r="K153" s="15"/>
      <c r="L153" s="15"/>
      <c r="M153" s="18"/>
      <c r="N153" s="18"/>
    </row>
    <row r="154" spans="1:14" x14ac:dyDescent="0.2">
      <c r="A154" s="10"/>
      <c r="B154" s="10"/>
      <c r="C154" s="9"/>
      <c r="D154" s="9"/>
      <c r="E154" s="11"/>
      <c r="F154" s="15"/>
      <c r="G154" s="15"/>
      <c r="H154" s="15"/>
      <c r="I154" s="15"/>
      <c r="J154" s="15"/>
      <c r="K154" s="15"/>
      <c r="L154" s="15"/>
      <c r="M154" s="18"/>
      <c r="N154" s="18"/>
    </row>
    <row r="155" spans="1:14" x14ac:dyDescent="0.2">
      <c r="A155" s="10"/>
      <c r="B155" s="10"/>
      <c r="C155" s="9"/>
      <c r="D155" s="9"/>
      <c r="E155" s="11"/>
      <c r="F155" s="15"/>
      <c r="G155" s="15"/>
      <c r="H155" s="15"/>
      <c r="I155" s="15"/>
      <c r="J155" s="15"/>
      <c r="K155" s="15"/>
      <c r="L155" s="15"/>
      <c r="M155" s="18"/>
      <c r="N155" s="18"/>
    </row>
    <row r="156" spans="1:14" x14ac:dyDescent="0.2">
      <c r="A156" s="10"/>
      <c r="B156" s="10"/>
      <c r="C156" s="9"/>
      <c r="D156" s="9"/>
      <c r="E156" s="11"/>
      <c r="F156" s="15"/>
      <c r="G156" s="15"/>
      <c r="H156" s="15"/>
      <c r="I156" s="15"/>
      <c r="J156" s="15"/>
      <c r="K156" s="15"/>
      <c r="L156" s="15"/>
      <c r="M156" s="18"/>
      <c r="N156" s="18"/>
    </row>
    <row r="157" spans="1:14" x14ac:dyDescent="0.2">
      <c r="A157" s="10"/>
      <c r="B157" s="10"/>
      <c r="C157" s="9"/>
      <c r="D157" s="9"/>
      <c r="E157" s="11"/>
      <c r="F157" s="15"/>
      <c r="G157" s="15"/>
      <c r="H157" s="15"/>
      <c r="I157" s="15"/>
      <c r="J157" s="15"/>
      <c r="K157" s="15"/>
      <c r="L157" s="15"/>
      <c r="M157" s="18"/>
      <c r="N157" s="18"/>
    </row>
    <row r="158" spans="1:14" x14ac:dyDescent="0.2">
      <c r="A158" s="10"/>
      <c r="B158" s="10"/>
      <c r="C158" s="9"/>
      <c r="D158" s="9"/>
      <c r="E158" s="11"/>
      <c r="F158" s="15"/>
      <c r="G158" s="15"/>
      <c r="H158" s="15"/>
      <c r="I158" s="15"/>
      <c r="J158" s="15"/>
      <c r="K158" s="15"/>
      <c r="L158" s="15"/>
      <c r="M158" s="18"/>
      <c r="N158" s="18"/>
    </row>
    <row r="159" spans="1:14" x14ac:dyDescent="0.2">
      <c r="A159" s="10"/>
      <c r="B159" s="10"/>
      <c r="C159" s="9"/>
      <c r="D159" s="9"/>
      <c r="E159" s="11"/>
      <c r="F159" s="15"/>
      <c r="G159" s="15"/>
      <c r="H159" s="15"/>
      <c r="I159" s="15"/>
      <c r="J159" s="15"/>
      <c r="K159" s="15"/>
      <c r="L159" s="15"/>
      <c r="M159" s="18"/>
      <c r="N159" s="18"/>
    </row>
    <row r="160" spans="1:14" x14ac:dyDescent="0.2">
      <c r="A160" s="10"/>
      <c r="B160" s="10"/>
      <c r="C160" s="9"/>
      <c r="D160" s="9"/>
      <c r="E160" s="11"/>
      <c r="F160" s="15"/>
      <c r="G160" s="15"/>
      <c r="H160" s="15"/>
      <c r="I160" s="15"/>
      <c r="J160" s="15"/>
      <c r="K160" s="15"/>
      <c r="L160" s="15"/>
      <c r="M160" s="18"/>
      <c r="N160" s="18"/>
    </row>
    <row r="161" spans="1:14" x14ac:dyDescent="0.2">
      <c r="A161" s="10"/>
      <c r="B161" s="10"/>
      <c r="C161" s="9"/>
      <c r="D161" s="9"/>
      <c r="E161" s="11"/>
      <c r="F161" s="15"/>
      <c r="G161" s="15"/>
      <c r="H161" s="15"/>
      <c r="I161" s="15"/>
      <c r="J161" s="15"/>
      <c r="K161" s="15"/>
      <c r="L161" s="15"/>
      <c r="M161" s="18"/>
      <c r="N161" s="18"/>
    </row>
    <row r="162" spans="1:14" x14ac:dyDescent="0.2">
      <c r="A162" s="10"/>
      <c r="B162" s="10"/>
      <c r="C162" s="9"/>
      <c r="D162" s="9"/>
      <c r="E162" s="11"/>
      <c r="F162" s="15"/>
      <c r="G162" s="15"/>
      <c r="H162" s="15"/>
      <c r="I162" s="15"/>
      <c r="J162" s="15"/>
      <c r="K162" s="15"/>
      <c r="L162" s="15"/>
      <c r="M162" s="18"/>
      <c r="N162" s="18"/>
    </row>
    <row r="163" spans="1:14" x14ac:dyDescent="0.2">
      <c r="A163" s="10"/>
      <c r="B163" s="10"/>
      <c r="C163" s="9"/>
      <c r="D163" s="9"/>
      <c r="E163" s="11"/>
      <c r="F163" s="15"/>
      <c r="G163" s="15"/>
      <c r="H163" s="15"/>
      <c r="I163" s="15"/>
      <c r="J163" s="15"/>
      <c r="K163" s="15"/>
      <c r="L163" s="15"/>
      <c r="M163" s="18"/>
      <c r="N163" s="18"/>
    </row>
    <row r="164" spans="1:14" x14ac:dyDescent="0.2">
      <c r="A164" s="10"/>
      <c r="B164" s="10"/>
      <c r="C164" s="9"/>
      <c r="D164" s="9"/>
      <c r="E164" s="11"/>
      <c r="F164" s="15"/>
      <c r="G164" s="15"/>
      <c r="H164" s="15"/>
      <c r="I164" s="15"/>
      <c r="J164" s="15"/>
      <c r="K164" s="15"/>
      <c r="L164" s="15"/>
      <c r="M164" s="18"/>
      <c r="N164" s="18"/>
    </row>
    <row r="165" spans="1:14" x14ac:dyDescent="0.2">
      <c r="A165" s="10"/>
      <c r="B165" s="10"/>
      <c r="C165" s="9"/>
      <c r="D165" s="9"/>
      <c r="E165" s="11"/>
      <c r="F165" s="15"/>
      <c r="G165" s="15"/>
      <c r="H165" s="15"/>
      <c r="I165" s="15"/>
      <c r="J165" s="15"/>
      <c r="K165" s="15"/>
      <c r="L165" s="15"/>
      <c r="M165" s="18"/>
      <c r="N165" s="18"/>
    </row>
    <row r="166" spans="1:14" x14ac:dyDescent="0.2">
      <c r="A166" s="10"/>
      <c r="B166" s="10"/>
      <c r="C166" s="9"/>
      <c r="D166" s="9"/>
      <c r="E166" s="11"/>
      <c r="F166" s="15"/>
      <c r="G166" s="15"/>
      <c r="H166" s="15"/>
      <c r="I166" s="15"/>
      <c r="J166" s="15"/>
      <c r="K166" s="15"/>
      <c r="L166" s="15"/>
      <c r="M166" s="18"/>
      <c r="N166" s="18"/>
    </row>
    <row r="167" spans="1:14" x14ac:dyDescent="0.2">
      <c r="A167" s="10"/>
      <c r="B167" s="10"/>
      <c r="C167" s="9"/>
      <c r="D167" s="9"/>
      <c r="E167" s="11"/>
      <c r="F167" s="15"/>
      <c r="G167" s="15"/>
      <c r="H167" s="15"/>
      <c r="I167" s="15"/>
      <c r="J167" s="15"/>
      <c r="K167" s="15"/>
      <c r="L167" s="15"/>
      <c r="M167" s="18"/>
      <c r="N167" s="18"/>
    </row>
    <row r="168" spans="1:14" x14ac:dyDescent="0.2">
      <c r="A168" s="10"/>
      <c r="B168" s="10"/>
      <c r="C168" s="9"/>
      <c r="D168" s="9"/>
      <c r="E168" s="11"/>
      <c r="F168" s="15"/>
      <c r="G168" s="15"/>
      <c r="H168" s="15"/>
      <c r="I168" s="15"/>
      <c r="J168" s="15"/>
      <c r="K168" s="15"/>
      <c r="L168" s="15"/>
      <c r="M168" s="18"/>
      <c r="N168" s="18"/>
    </row>
    <row r="169" spans="1:14" x14ac:dyDescent="0.2">
      <c r="A169" s="10"/>
      <c r="B169" s="10"/>
      <c r="C169" s="9"/>
      <c r="D169" s="9"/>
      <c r="E169" s="11"/>
      <c r="F169" s="15"/>
      <c r="G169" s="15"/>
      <c r="H169" s="15"/>
      <c r="I169" s="15"/>
      <c r="J169" s="15"/>
      <c r="K169" s="15"/>
      <c r="L169" s="15"/>
      <c r="M169" s="18"/>
      <c r="N169" s="18"/>
    </row>
    <row r="170" spans="1:14" x14ac:dyDescent="0.2">
      <c r="A170" s="10"/>
      <c r="B170" s="10"/>
      <c r="C170" s="9"/>
      <c r="D170" s="9"/>
      <c r="E170" s="11"/>
      <c r="F170" s="15"/>
      <c r="G170" s="15"/>
      <c r="H170" s="15"/>
      <c r="I170" s="15"/>
      <c r="J170" s="15"/>
      <c r="K170" s="15"/>
      <c r="L170" s="15"/>
      <c r="M170" s="18"/>
      <c r="N170" s="18"/>
    </row>
    <row r="171" spans="1:14" x14ac:dyDescent="0.2">
      <c r="A171" s="10"/>
      <c r="B171" s="10"/>
      <c r="C171" s="9"/>
      <c r="D171" s="9"/>
      <c r="E171" s="11"/>
      <c r="F171" s="15"/>
      <c r="G171" s="15"/>
      <c r="H171" s="15"/>
      <c r="I171" s="15"/>
      <c r="J171" s="15"/>
      <c r="K171" s="15"/>
      <c r="L171" s="15"/>
      <c r="M171" s="18"/>
      <c r="N171" s="18"/>
    </row>
    <row r="172" spans="1:14" x14ac:dyDescent="0.2">
      <c r="A172" s="10"/>
      <c r="B172" s="10"/>
      <c r="C172" s="9"/>
      <c r="D172" s="9"/>
      <c r="E172" s="11"/>
      <c r="F172" s="15"/>
      <c r="G172" s="15"/>
      <c r="H172" s="15"/>
      <c r="I172" s="15"/>
      <c r="J172" s="15"/>
      <c r="K172" s="15"/>
      <c r="L172" s="15"/>
      <c r="M172" s="18"/>
      <c r="N172" s="18"/>
    </row>
    <row r="173" spans="1:14" x14ac:dyDescent="0.2">
      <c r="A173" s="10"/>
      <c r="B173" s="10"/>
      <c r="C173" s="9"/>
      <c r="D173" s="9"/>
      <c r="E173" s="11"/>
      <c r="F173" s="15"/>
      <c r="G173" s="15"/>
      <c r="H173" s="15"/>
      <c r="I173" s="15"/>
      <c r="J173" s="15"/>
      <c r="K173" s="15"/>
      <c r="L173" s="15"/>
      <c r="M173" s="18"/>
      <c r="N173" s="18"/>
    </row>
    <row r="174" spans="1:14" x14ac:dyDescent="0.2">
      <c r="A174" s="10"/>
      <c r="B174" s="10"/>
      <c r="C174" s="9"/>
      <c r="D174" s="9"/>
      <c r="E174" s="11"/>
      <c r="F174" s="15"/>
      <c r="G174" s="15"/>
      <c r="H174" s="15"/>
      <c r="I174" s="15"/>
      <c r="J174" s="15"/>
      <c r="K174" s="15"/>
      <c r="L174" s="15"/>
      <c r="M174" s="18"/>
      <c r="N174" s="18"/>
    </row>
    <row r="175" spans="1:14" x14ac:dyDescent="0.2">
      <c r="A175" s="10"/>
      <c r="B175" s="10"/>
      <c r="C175" s="9"/>
      <c r="D175" s="9"/>
      <c r="E175" s="11"/>
      <c r="F175" s="15"/>
      <c r="G175" s="15"/>
      <c r="H175" s="15"/>
      <c r="I175" s="15"/>
      <c r="J175" s="15"/>
      <c r="K175" s="15"/>
      <c r="L175" s="15"/>
      <c r="M175" s="18"/>
      <c r="N175" s="18"/>
    </row>
    <row r="176" spans="1:14" x14ac:dyDescent="0.2">
      <c r="A176" s="10"/>
      <c r="B176" s="10"/>
      <c r="C176" s="9"/>
      <c r="D176" s="9"/>
      <c r="E176" s="11"/>
      <c r="F176" s="15"/>
      <c r="G176" s="15"/>
      <c r="H176" s="15"/>
      <c r="I176" s="15"/>
      <c r="J176" s="15"/>
      <c r="K176" s="15"/>
      <c r="L176" s="15"/>
      <c r="M176" s="18"/>
      <c r="N176" s="18"/>
    </row>
    <row r="177" spans="1:14" x14ac:dyDescent="0.2">
      <c r="A177" s="10"/>
      <c r="B177" s="10"/>
      <c r="C177" s="9"/>
      <c r="D177" s="9"/>
      <c r="E177" s="11"/>
      <c r="F177" s="15"/>
      <c r="G177" s="15"/>
      <c r="H177" s="15"/>
      <c r="I177" s="15"/>
      <c r="J177" s="15"/>
      <c r="K177" s="15"/>
      <c r="L177" s="15"/>
      <c r="M177" s="18"/>
      <c r="N177" s="18"/>
    </row>
    <row r="178" spans="1:14" x14ac:dyDescent="0.2">
      <c r="A178" s="10"/>
      <c r="B178" s="10"/>
      <c r="C178" s="9"/>
      <c r="D178" s="9"/>
      <c r="E178" s="11"/>
      <c r="F178" s="15"/>
      <c r="G178" s="15"/>
      <c r="H178" s="15"/>
      <c r="I178" s="15"/>
      <c r="J178" s="15"/>
      <c r="K178" s="15"/>
      <c r="L178" s="15"/>
      <c r="M178" s="18"/>
      <c r="N178" s="18"/>
    </row>
    <row r="179" spans="1:14" x14ac:dyDescent="0.2">
      <c r="A179" s="10"/>
      <c r="B179" s="10"/>
      <c r="C179" s="9"/>
      <c r="D179" s="9"/>
      <c r="E179" s="11"/>
      <c r="F179" s="15"/>
      <c r="G179" s="15"/>
      <c r="H179" s="15"/>
      <c r="I179" s="15"/>
      <c r="J179" s="15"/>
      <c r="K179" s="15"/>
      <c r="L179" s="15"/>
      <c r="M179" s="18"/>
      <c r="N179" s="18"/>
    </row>
    <row r="180" spans="1:14" x14ac:dyDescent="0.2">
      <c r="A180" s="10"/>
      <c r="B180" s="10"/>
      <c r="C180" s="9"/>
      <c r="D180" s="9"/>
      <c r="E180" s="11"/>
      <c r="F180" s="15"/>
      <c r="G180" s="15"/>
      <c r="H180" s="15"/>
      <c r="I180" s="15"/>
      <c r="J180" s="15"/>
      <c r="K180" s="15"/>
      <c r="L180" s="15"/>
      <c r="M180" s="18"/>
      <c r="N180" s="18"/>
    </row>
    <row r="181" spans="1:14" x14ac:dyDescent="0.2">
      <c r="A181" s="10"/>
      <c r="B181" s="10"/>
      <c r="C181" s="9"/>
      <c r="D181" s="9"/>
      <c r="E181" s="11"/>
      <c r="F181" s="15"/>
      <c r="G181" s="15"/>
      <c r="H181" s="15"/>
      <c r="I181" s="15"/>
      <c r="J181" s="15"/>
      <c r="K181" s="15"/>
      <c r="L181" s="15"/>
      <c r="M181" s="18"/>
      <c r="N181" s="18"/>
    </row>
    <row r="182" spans="1:14" x14ac:dyDescent="0.2">
      <c r="A182" s="10"/>
      <c r="B182" s="10"/>
      <c r="C182" s="9"/>
      <c r="D182" s="9"/>
      <c r="E182" s="11"/>
      <c r="F182" s="15"/>
      <c r="G182" s="15"/>
      <c r="H182" s="15"/>
      <c r="I182" s="15"/>
      <c r="J182" s="15"/>
      <c r="K182" s="15"/>
      <c r="L182" s="15"/>
      <c r="M182" s="18"/>
      <c r="N182" s="18"/>
    </row>
    <row r="183" spans="1:14" x14ac:dyDescent="0.2">
      <c r="A183" s="10"/>
      <c r="B183" s="10"/>
      <c r="C183" s="9"/>
      <c r="D183" s="9"/>
      <c r="E183" s="11"/>
      <c r="F183" s="15"/>
      <c r="G183" s="15"/>
      <c r="H183" s="15"/>
      <c r="I183" s="15"/>
      <c r="J183" s="15"/>
      <c r="K183" s="15"/>
      <c r="L183" s="15"/>
      <c r="M183" s="18"/>
      <c r="N183" s="18"/>
    </row>
    <row r="184" spans="1:14" x14ac:dyDescent="0.2">
      <c r="A184" s="10"/>
      <c r="B184" s="10"/>
      <c r="C184" s="9"/>
      <c r="D184" s="9"/>
      <c r="E184" s="11"/>
      <c r="F184" s="15"/>
      <c r="G184" s="15"/>
      <c r="H184" s="15"/>
      <c r="I184" s="15"/>
      <c r="J184" s="15"/>
      <c r="K184" s="15"/>
      <c r="L184" s="15"/>
      <c r="M184" s="18"/>
      <c r="N184" s="18"/>
    </row>
    <row r="185" spans="1:14" x14ac:dyDescent="0.2">
      <c r="A185" s="10"/>
      <c r="B185" s="10"/>
      <c r="C185" s="9"/>
      <c r="D185" s="9"/>
      <c r="E185" s="11"/>
      <c r="F185" s="15"/>
      <c r="G185" s="15"/>
      <c r="H185" s="15"/>
      <c r="I185" s="15"/>
      <c r="J185" s="15"/>
      <c r="K185" s="15"/>
      <c r="L185" s="15"/>
      <c r="M185" s="18"/>
      <c r="N185" s="18"/>
    </row>
    <row r="186" spans="1:14" x14ac:dyDescent="0.2">
      <c r="A186" s="10"/>
      <c r="B186" s="10"/>
      <c r="C186" s="9"/>
      <c r="D186" s="9"/>
      <c r="E186" s="11"/>
      <c r="F186" s="15"/>
      <c r="G186" s="15"/>
      <c r="H186" s="15"/>
      <c r="I186" s="15"/>
      <c r="J186" s="15"/>
      <c r="K186" s="15"/>
      <c r="L186" s="15"/>
      <c r="M186" s="18"/>
      <c r="N186" s="18"/>
    </row>
    <row r="187" spans="1:14" x14ac:dyDescent="0.2">
      <c r="A187" s="10"/>
      <c r="B187" s="10"/>
      <c r="C187" s="9"/>
      <c r="D187" s="9"/>
      <c r="E187" s="11"/>
      <c r="F187" s="15"/>
      <c r="G187" s="15"/>
      <c r="H187" s="15"/>
      <c r="I187" s="15"/>
      <c r="J187" s="15"/>
      <c r="K187" s="15"/>
      <c r="L187" s="15"/>
      <c r="M187" s="18"/>
      <c r="N187" s="18"/>
    </row>
    <row r="188" spans="1:14" x14ac:dyDescent="0.2">
      <c r="A188" s="10"/>
      <c r="B188" s="10"/>
      <c r="C188" s="9"/>
      <c r="D188" s="9"/>
      <c r="E188" s="11"/>
      <c r="F188" s="15"/>
      <c r="G188" s="15"/>
      <c r="H188" s="15"/>
      <c r="I188" s="15"/>
      <c r="J188" s="15"/>
      <c r="K188" s="15"/>
      <c r="L188" s="15"/>
      <c r="M188" s="18"/>
      <c r="N188" s="18"/>
    </row>
    <row r="189" spans="1:14" x14ac:dyDescent="0.2">
      <c r="A189" s="10"/>
      <c r="B189" s="10"/>
      <c r="C189" s="9"/>
      <c r="D189" s="9"/>
      <c r="E189" s="11"/>
      <c r="F189" s="15"/>
      <c r="G189" s="15"/>
      <c r="H189" s="15"/>
      <c r="I189" s="15"/>
      <c r="J189" s="15"/>
      <c r="K189" s="15"/>
      <c r="L189" s="15"/>
      <c r="M189" s="18"/>
      <c r="N189" s="18"/>
    </row>
    <row r="190" spans="1:14" x14ac:dyDescent="0.2">
      <c r="A190" s="10"/>
      <c r="B190" s="10"/>
      <c r="C190" s="9"/>
      <c r="D190" s="9"/>
      <c r="E190" s="11"/>
      <c r="F190" s="15"/>
      <c r="G190" s="15"/>
      <c r="H190" s="15"/>
      <c r="I190" s="15"/>
      <c r="J190" s="15"/>
      <c r="K190" s="15"/>
      <c r="L190" s="15"/>
      <c r="M190" s="18"/>
      <c r="N190" s="18"/>
    </row>
    <row r="191" spans="1:14" x14ac:dyDescent="0.2">
      <c r="A191" s="10"/>
      <c r="B191" s="10"/>
      <c r="C191" s="9"/>
      <c r="D191" s="9"/>
      <c r="E191" s="11"/>
      <c r="F191" s="15"/>
      <c r="G191" s="15"/>
      <c r="H191" s="15"/>
      <c r="I191" s="15"/>
      <c r="J191" s="15"/>
      <c r="K191" s="15"/>
      <c r="L191" s="15"/>
      <c r="M191" s="18"/>
      <c r="N191" s="18"/>
    </row>
    <row r="192" spans="1:14" x14ac:dyDescent="0.2">
      <c r="A192" s="10"/>
      <c r="B192" s="10"/>
      <c r="C192" s="9"/>
      <c r="D192" s="9"/>
      <c r="E192" s="11"/>
      <c r="F192" s="15"/>
      <c r="G192" s="15"/>
      <c r="H192" s="15"/>
      <c r="I192" s="15"/>
      <c r="J192" s="15"/>
      <c r="K192" s="15"/>
      <c r="L192" s="15"/>
      <c r="M192" s="18"/>
      <c r="N192" s="18"/>
    </row>
    <row r="193" spans="1:14" x14ac:dyDescent="0.2">
      <c r="A193" s="10"/>
      <c r="B193" s="10"/>
      <c r="C193" s="9"/>
      <c r="D193" s="9"/>
      <c r="E193" s="11"/>
      <c r="F193" s="15"/>
      <c r="G193" s="15"/>
      <c r="H193" s="15"/>
      <c r="I193" s="15"/>
      <c r="J193" s="15"/>
      <c r="K193" s="15"/>
      <c r="L193" s="15"/>
      <c r="M193" s="18"/>
      <c r="N193" s="18"/>
    </row>
    <row r="194" spans="1:14" x14ac:dyDescent="0.2">
      <c r="A194" s="10"/>
      <c r="B194" s="10"/>
      <c r="C194" s="9"/>
      <c r="D194" s="9"/>
      <c r="E194" s="11"/>
      <c r="F194" s="15"/>
      <c r="G194" s="15"/>
      <c r="H194" s="15"/>
      <c r="I194" s="15"/>
      <c r="J194" s="15"/>
      <c r="K194" s="15"/>
      <c r="L194" s="15"/>
      <c r="M194" s="18"/>
      <c r="N194" s="18"/>
    </row>
    <row r="195" spans="1:14" x14ac:dyDescent="0.2">
      <c r="A195" s="10"/>
      <c r="B195" s="10"/>
      <c r="C195" s="9"/>
      <c r="D195" s="9"/>
      <c r="E195" s="11"/>
      <c r="F195" s="15"/>
      <c r="G195" s="15"/>
      <c r="H195" s="15"/>
      <c r="I195" s="15"/>
      <c r="J195" s="15"/>
      <c r="K195" s="15"/>
      <c r="L195" s="15"/>
      <c r="M195" s="18"/>
      <c r="N195" s="18"/>
    </row>
    <row r="196" spans="1:14" x14ac:dyDescent="0.2">
      <c r="A196" s="10"/>
      <c r="B196" s="10"/>
      <c r="C196" s="9"/>
      <c r="D196" s="9"/>
      <c r="E196" s="11"/>
      <c r="F196" s="15"/>
      <c r="G196" s="15"/>
      <c r="H196" s="15"/>
      <c r="I196" s="15"/>
      <c r="J196" s="15"/>
      <c r="K196" s="15"/>
      <c r="L196" s="15"/>
      <c r="M196" s="18"/>
      <c r="N196" s="18"/>
    </row>
    <row r="197" spans="1:14" x14ac:dyDescent="0.2">
      <c r="A197" s="10"/>
      <c r="B197" s="10"/>
      <c r="C197" s="9"/>
      <c r="D197" s="9"/>
      <c r="E197" s="11"/>
      <c r="F197" s="15"/>
      <c r="G197" s="15"/>
      <c r="H197" s="15"/>
      <c r="I197" s="15"/>
      <c r="J197" s="15"/>
      <c r="K197" s="15"/>
      <c r="L197" s="15"/>
      <c r="M197" s="18"/>
      <c r="N197" s="18"/>
    </row>
    <row r="198" spans="1:14" x14ac:dyDescent="0.2">
      <c r="A198" s="10"/>
      <c r="B198" s="10"/>
      <c r="C198" s="9"/>
      <c r="D198" s="9"/>
      <c r="E198" s="11"/>
      <c r="F198" s="15"/>
      <c r="G198" s="15"/>
      <c r="H198" s="15"/>
      <c r="I198" s="15"/>
      <c r="J198" s="15"/>
      <c r="K198" s="15"/>
      <c r="L198" s="15"/>
      <c r="M198" s="18"/>
      <c r="N198" s="18"/>
    </row>
    <row r="199" spans="1:14" x14ac:dyDescent="0.2">
      <c r="A199" s="10"/>
      <c r="B199" s="10"/>
      <c r="C199" s="9"/>
      <c r="D199" s="9"/>
      <c r="E199" s="11"/>
      <c r="F199" s="15"/>
      <c r="G199" s="15"/>
      <c r="H199" s="15"/>
      <c r="I199" s="15"/>
      <c r="J199" s="15"/>
      <c r="K199" s="15"/>
      <c r="L199" s="15"/>
      <c r="M199" s="18"/>
      <c r="N199" s="18"/>
    </row>
    <row r="200" spans="1:14" x14ac:dyDescent="0.2">
      <c r="A200" s="10"/>
      <c r="B200" s="10"/>
      <c r="C200" s="9"/>
      <c r="D200" s="9"/>
      <c r="E200" s="11"/>
      <c r="F200" s="15"/>
      <c r="G200" s="15"/>
      <c r="H200" s="15"/>
      <c r="I200" s="15"/>
      <c r="J200" s="15"/>
      <c r="K200" s="15"/>
      <c r="L200" s="15"/>
      <c r="M200" s="18"/>
      <c r="N200" s="18"/>
    </row>
    <row r="201" spans="1:14" x14ac:dyDescent="0.2">
      <c r="A201" s="10"/>
      <c r="B201" s="10"/>
      <c r="C201" s="9"/>
      <c r="D201" s="9"/>
      <c r="E201" s="11"/>
      <c r="F201" s="15"/>
      <c r="G201" s="15"/>
      <c r="H201" s="15"/>
      <c r="I201" s="15"/>
      <c r="J201" s="15"/>
      <c r="K201" s="15"/>
      <c r="L201" s="15"/>
      <c r="M201" s="18"/>
      <c r="N201" s="18"/>
    </row>
    <row r="202" spans="1:14" x14ac:dyDescent="0.2">
      <c r="A202" s="10"/>
      <c r="B202" s="10"/>
      <c r="C202" s="9"/>
      <c r="D202" s="9"/>
      <c r="E202" s="11"/>
      <c r="F202" s="15"/>
      <c r="G202" s="15"/>
      <c r="H202" s="15"/>
      <c r="I202" s="15"/>
      <c r="J202" s="15"/>
      <c r="K202" s="15"/>
      <c r="L202" s="15"/>
      <c r="M202" s="18"/>
      <c r="N202" s="18"/>
    </row>
    <row r="203" spans="1:14" x14ac:dyDescent="0.2">
      <c r="A203" s="10"/>
      <c r="B203" s="10"/>
      <c r="C203" s="9"/>
      <c r="D203" s="9"/>
      <c r="E203" s="11"/>
      <c r="F203" s="15"/>
      <c r="G203" s="15"/>
      <c r="H203" s="15"/>
      <c r="I203" s="15"/>
      <c r="J203" s="15"/>
      <c r="K203" s="15"/>
      <c r="L203" s="15"/>
      <c r="M203" s="18"/>
      <c r="N203" s="18"/>
    </row>
    <row r="204" spans="1:14" x14ac:dyDescent="0.2">
      <c r="A204" s="10"/>
      <c r="B204" s="10"/>
      <c r="C204" s="9"/>
      <c r="D204" s="9"/>
      <c r="E204" s="11"/>
      <c r="F204" s="15"/>
      <c r="G204" s="15"/>
      <c r="H204" s="15"/>
      <c r="I204" s="15"/>
      <c r="J204" s="15"/>
      <c r="K204" s="15"/>
      <c r="L204" s="15"/>
      <c r="M204" s="18"/>
      <c r="N204" s="18"/>
    </row>
    <row r="205" spans="1:14" x14ac:dyDescent="0.2">
      <c r="A205" s="10"/>
      <c r="B205" s="10"/>
      <c r="C205" s="9"/>
      <c r="D205" s="9"/>
      <c r="E205" s="11"/>
      <c r="F205" s="15"/>
      <c r="G205" s="15"/>
      <c r="H205" s="15"/>
      <c r="I205" s="15"/>
      <c r="J205" s="15"/>
      <c r="K205" s="15"/>
      <c r="L205" s="15"/>
      <c r="M205" s="18"/>
      <c r="N205" s="18"/>
    </row>
    <row r="206" spans="1:14" x14ac:dyDescent="0.2">
      <c r="A206" s="10"/>
      <c r="B206" s="10"/>
      <c r="C206" s="9"/>
      <c r="D206" s="9"/>
      <c r="E206" s="11"/>
      <c r="F206" s="15"/>
      <c r="G206" s="15"/>
      <c r="H206" s="15"/>
      <c r="I206" s="15"/>
      <c r="J206" s="15"/>
      <c r="K206" s="15"/>
      <c r="L206" s="15"/>
      <c r="M206" s="18"/>
      <c r="N206" s="18"/>
    </row>
    <row r="207" spans="1:14" x14ac:dyDescent="0.2">
      <c r="A207" s="10"/>
      <c r="B207" s="10"/>
      <c r="C207" s="9"/>
      <c r="D207" s="9"/>
      <c r="E207" s="11"/>
      <c r="F207" s="15"/>
      <c r="G207" s="15"/>
      <c r="H207" s="15"/>
      <c r="I207" s="15"/>
      <c r="J207" s="15"/>
      <c r="K207" s="15"/>
      <c r="L207" s="15"/>
      <c r="M207" s="18"/>
      <c r="N207" s="18"/>
    </row>
    <row r="208" spans="1:14" x14ac:dyDescent="0.2">
      <c r="A208" s="10"/>
      <c r="B208" s="10"/>
      <c r="C208" s="9"/>
      <c r="D208" s="9"/>
      <c r="E208" s="11"/>
      <c r="F208" s="15"/>
      <c r="G208" s="15"/>
      <c r="H208" s="15"/>
      <c r="I208" s="15"/>
      <c r="J208" s="15"/>
      <c r="K208" s="15"/>
      <c r="L208" s="15"/>
      <c r="M208" s="18"/>
      <c r="N208" s="18"/>
    </row>
    <row r="209" spans="1:14" x14ac:dyDescent="0.2">
      <c r="A209" s="10"/>
      <c r="B209" s="10"/>
      <c r="C209" s="9"/>
      <c r="D209" s="9"/>
      <c r="E209" s="11"/>
      <c r="F209" s="15"/>
      <c r="G209" s="15"/>
      <c r="H209" s="15"/>
      <c r="I209" s="15"/>
      <c r="J209" s="15"/>
      <c r="K209" s="15"/>
      <c r="L209" s="15"/>
      <c r="M209" s="18"/>
      <c r="N209" s="18"/>
    </row>
    <row r="210" spans="1:14" x14ac:dyDescent="0.2">
      <c r="A210" s="10"/>
      <c r="B210" s="10"/>
      <c r="C210" s="9"/>
      <c r="D210" s="9"/>
      <c r="E210" s="11"/>
      <c r="F210" s="15"/>
      <c r="G210" s="15"/>
      <c r="H210" s="15"/>
      <c r="I210" s="15"/>
      <c r="J210" s="15"/>
      <c r="K210" s="15"/>
      <c r="L210" s="15"/>
      <c r="M210" s="18"/>
      <c r="N210" s="18"/>
    </row>
    <row r="211" spans="1:14" x14ac:dyDescent="0.2">
      <c r="A211" s="10"/>
      <c r="B211" s="10"/>
      <c r="C211" s="9"/>
      <c r="D211" s="9"/>
      <c r="E211" s="11"/>
      <c r="F211" s="15"/>
      <c r="G211" s="15"/>
      <c r="H211" s="15"/>
      <c r="I211" s="15"/>
      <c r="J211" s="15"/>
      <c r="K211" s="15"/>
      <c r="L211" s="15"/>
      <c r="M211" s="18"/>
      <c r="N211" s="18"/>
    </row>
    <row r="212" spans="1:14" x14ac:dyDescent="0.2">
      <c r="A212" s="10"/>
      <c r="B212" s="10"/>
      <c r="C212" s="9"/>
      <c r="D212" s="9"/>
      <c r="E212" s="11"/>
      <c r="F212" s="15"/>
      <c r="G212" s="15"/>
      <c r="H212" s="15"/>
      <c r="I212" s="15"/>
      <c r="J212" s="15"/>
      <c r="K212" s="15"/>
      <c r="L212" s="15"/>
      <c r="M212" s="18"/>
      <c r="N212" s="18"/>
    </row>
    <row r="213" spans="1:14" x14ac:dyDescent="0.2">
      <c r="A213" s="10"/>
      <c r="B213" s="10"/>
      <c r="C213" s="9"/>
      <c r="D213" s="9"/>
      <c r="E213" s="11"/>
      <c r="F213" s="15"/>
      <c r="G213" s="15"/>
      <c r="H213" s="15"/>
      <c r="I213" s="15"/>
      <c r="J213" s="15"/>
      <c r="K213" s="15"/>
      <c r="L213" s="15"/>
      <c r="M213" s="18"/>
      <c r="N213" s="18"/>
    </row>
    <row r="214" spans="1:14" x14ac:dyDescent="0.2">
      <c r="A214" s="10"/>
      <c r="B214" s="10"/>
      <c r="C214" s="9"/>
      <c r="D214" s="9"/>
      <c r="E214" s="11"/>
      <c r="F214" s="15"/>
      <c r="G214" s="15"/>
      <c r="H214" s="15"/>
      <c r="I214" s="15"/>
      <c r="J214" s="15"/>
      <c r="K214" s="15"/>
      <c r="L214" s="15"/>
      <c r="M214" s="18"/>
      <c r="N214" s="18"/>
    </row>
    <row r="215" spans="1:14" x14ac:dyDescent="0.2">
      <c r="A215" s="10"/>
      <c r="B215" s="10"/>
      <c r="C215" s="9"/>
      <c r="D215" s="9"/>
      <c r="E215" s="11"/>
      <c r="F215" s="15"/>
      <c r="G215" s="15"/>
      <c r="H215" s="15"/>
      <c r="I215" s="15"/>
      <c r="J215" s="15"/>
      <c r="K215" s="15"/>
      <c r="L215" s="15"/>
      <c r="M215" s="18"/>
      <c r="N215" s="18"/>
    </row>
    <row r="216" spans="1:14" x14ac:dyDescent="0.2">
      <c r="A216" s="10"/>
      <c r="B216" s="10"/>
      <c r="C216" s="9"/>
      <c r="D216" s="9"/>
      <c r="E216" s="11"/>
      <c r="F216" s="15"/>
      <c r="G216" s="15"/>
      <c r="H216" s="15"/>
      <c r="I216" s="15"/>
      <c r="J216" s="15"/>
      <c r="K216" s="15"/>
      <c r="L216" s="15"/>
      <c r="M216" s="18"/>
      <c r="N216" s="18"/>
    </row>
    <row r="217" spans="1:14" x14ac:dyDescent="0.2">
      <c r="A217" s="10"/>
      <c r="B217" s="10"/>
      <c r="C217" s="9"/>
      <c r="D217" s="9"/>
      <c r="E217" s="11"/>
      <c r="F217" s="15"/>
      <c r="G217" s="15"/>
      <c r="H217" s="15"/>
      <c r="I217" s="15"/>
      <c r="J217" s="15"/>
      <c r="K217" s="15"/>
      <c r="L217" s="15"/>
      <c r="M217" s="18"/>
      <c r="N217" s="18"/>
    </row>
    <row r="218" spans="1:14" x14ac:dyDescent="0.2">
      <c r="A218" s="10"/>
      <c r="B218" s="10"/>
      <c r="C218" s="9"/>
      <c r="D218" s="9"/>
      <c r="E218" s="11"/>
      <c r="F218" s="15"/>
      <c r="G218" s="15"/>
      <c r="H218" s="15"/>
      <c r="I218" s="15"/>
      <c r="J218" s="15"/>
      <c r="K218" s="15"/>
      <c r="L218" s="15"/>
      <c r="M218" s="18"/>
      <c r="N218" s="18"/>
    </row>
    <row r="219" spans="1:14" x14ac:dyDescent="0.2">
      <c r="A219" s="10"/>
      <c r="B219" s="10"/>
      <c r="C219" s="9"/>
      <c r="D219" s="9"/>
      <c r="E219" s="11"/>
      <c r="F219" s="15"/>
      <c r="G219" s="15"/>
      <c r="H219" s="15"/>
      <c r="I219" s="15"/>
      <c r="J219" s="15"/>
      <c r="K219" s="15"/>
      <c r="L219" s="15"/>
      <c r="M219" s="18"/>
      <c r="N219" s="18"/>
    </row>
    <row r="220" spans="1:14" x14ac:dyDescent="0.2">
      <c r="A220" s="10"/>
      <c r="B220" s="10"/>
      <c r="C220" s="9"/>
      <c r="D220" s="9"/>
      <c r="E220" s="11"/>
      <c r="F220" s="15"/>
      <c r="G220" s="15"/>
      <c r="H220" s="15"/>
      <c r="I220" s="15"/>
      <c r="J220" s="15"/>
      <c r="K220" s="15"/>
      <c r="L220" s="15"/>
      <c r="M220" s="18"/>
      <c r="N220" s="18"/>
    </row>
    <row r="221" spans="1:14" x14ac:dyDescent="0.2">
      <c r="A221" s="10"/>
      <c r="B221" s="10"/>
      <c r="C221" s="9"/>
      <c r="D221" s="9"/>
      <c r="E221" s="11"/>
      <c r="F221" s="15"/>
      <c r="G221" s="15"/>
      <c r="H221" s="15"/>
      <c r="I221" s="15"/>
      <c r="J221" s="15"/>
      <c r="K221" s="15"/>
      <c r="L221" s="15"/>
      <c r="M221" s="18"/>
      <c r="N221" s="18"/>
    </row>
    <row r="222" spans="1:14" x14ac:dyDescent="0.2">
      <c r="A222" s="10"/>
      <c r="B222" s="10"/>
      <c r="C222" s="9"/>
      <c r="D222" s="9"/>
      <c r="E222" s="11"/>
      <c r="F222" s="15"/>
      <c r="G222" s="15"/>
      <c r="H222" s="15"/>
      <c r="I222" s="15"/>
      <c r="J222" s="15"/>
      <c r="K222" s="15"/>
      <c r="L222" s="15"/>
      <c r="M222" s="18"/>
      <c r="N222" s="18"/>
    </row>
    <row r="223" spans="1:14" x14ac:dyDescent="0.2">
      <c r="A223" s="10"/>
      <c r="B223" s="10"/>
      <c r="C223" s="9"/>
      <c r="D223" s="9"/>
      <c r="E223" s="11"/>
      <c r="F223" s="15"/>
      <c r="G223" s="15"/>
      <c r="H223" s="15"/>
      <c r="I223" s="15"/>
      <c r="J223" s="15"/>
      <c r="K223" s="15"/>
      <c r="L223" s="15"/>
      <c r="M223" s="18"/>
      <c r="N223" s="18"/>
    </row>
    <row r="224" spans="1:14" x14ac:dyDescent="0.2">
      <c r="A224" s="10"/>
      <c r="B224" s="10"/>
      <c r="C224" s="9"/>
      <c r="D224" s="9"/>
      <c r="E224" s="11"/>
      <c r="F224" s="15"/>
      <c r="G224" s="15"/>
      <c r="H224" s="15"/>
      <c r="I224" s="15"/>
      <c r="J224" s="15"/>
      <c r="K224" s="15"/>
      <c r="L224" s="15"/>
      <c r="M224" s="18"/>
      <c r="N224" s="18"/>
    </row>
    <row r="225" spans="1:14" x14ac:dyDescent="0.2">
      <c r="A225" s="10"/>
      <c r="B225" s="10"/>
      <c r="C225" s="9"/>
      <c r="D225" s="9"/>
      <c r="E225" s="11"/>
      <c r="F225" s="15"/>
      <c r="G225" s="15"/>
      <c r="H225" s="15"/>
      <c r="I225" s="15"/>
      <c r="J225" s="15"/>
      <c r="K225" s="15"/>
      <c r="L225" s="15"/>
      <c r="M225" s="18"/>
      <c r="N225" s="18"/>
    </row>
    <row r="226" spans="1:14" x14ac:dyDescent="0.2">
      <c r="A226" s="10"/>
      <c r="B226" s="10"/>
      <c r="C226" s="9"/>
      <c r="D226" s="9"/>
      <c r="E226" s="11"/>
      <c r="F226" s="15"/>
      <c r="G226" s="15"/>
      <c r="H226" s="15"/>
      <c r="I226" s="15"/>
      <c r="J226" s="15"/>
      <c r="K226" s="15"/>
      <c r="L226" s="15"/>
      <c r="M226" s="18"/>
      <c r="N226" s="18"/>
    </row>
    <row r="227" spans="1:14" x14ac:dyDescent="0.2">
      <c r="A227" s="10"/>
      <c r="B227" s="10"/>
      <c r="C227" s="9"/>
      <c r="D227" s="9"/>
      <c r="E227" s="11"/>
      <c r="F227" s="15"/>
      <c r="G227" s="15"/>
      <c r="H227" s="15"/>
      <c r="I227" s="15"/>
      <c r="J227" s="15"/>
      <c r="K227" s="15"/>
      <c r="L227" s="15"/>
      <c r="M227" s="18"/>
      <c r="N227" s="18"/>
    </row>
    <row r="228" spans="1:14" x14ac:dyDescent="0.2">
      <c r="A228" s="10"/>
      <c r="B228" s="10"/>
      <c r="C228" s="9"/>
      <c r="D228" s="9"/>
      <c r="E228" s="11"/>
      <c r="F228" s="15"/>
      <c r="G228" s="15"/>
      <c r="H228" s="15"/>
      <c r="I228" s="15"/>
      <c r="J228" s="15"/>
      <c r="K228" s="15"/>
      <c r="L228" s="15"/>
      <c r="M228" s="18"/>
      <c r="N228" s="18"/>
    </row>
    <row r="229" spans="1:14" x14ac:dyDescent="0.2">
      <c r="A229" s="10"/>
      <c r="B229" s="10"/>
      <c r="C229" s="9"/>
      <c r="D229" s="9"/>
      <c r="E229" s="11"/>
      <c r="F229" s="15"/>
      <c r="G229" s="15"/>
      <c r="H229" s="15"/>
      <c r="I229" s="15"/>
      <c r="J229" s="15"/>
      <c r="K229" s="15"/>
      <c r="L229" s="15"/>
      <c r="M229" s="18"/>
      <c r="N229" s="18"/>
    </row>
    <row r="230" spans="1:14" x14ac:dyDescent="0.2">
      <c r="A230" s="10"/>
      <c r="B230" s="10"/>
      <c r="C230" s="9"/>
      <c r="D230" s="9"/>
      <c r="E230" s="11"/>
      <c r="F230" s="15"/>
      <c r="G230" s="15"/>
      <c r="H230" s="15"/>
      <c r="I230" s="15"/>
      <c r="J230" s="15"/>
      <c r="K230" s="15"/>
      <c r="L230" s="15"/>
      <c r="M230" s="18"/>
      <c r="N230" s="18"/>
    </row>
    <row r="231" spans="1:14" x14ac:dyDescent="0.2">
      <c r="A231" s="10"/>
      <c r="B231" s="10"/>
      <c r="C231" s="9"/>
      <c r="D231" s="9"/>
      <c r="E231" s="11"/>
      <c r="F231" s="15"/>
      <c r="G231" s="15"/>
      <c r="H231" s="15"/>
      <c r="I231" s="15"/>
      <c r="J231" s="15"/>
      <c r="K231" s="15"/>
      <c r="L231" s="15"/>
      <c r="M231" s="18"/>
      <c r="N231" s="18"/>
    </row>
    <row r="232" spans="1:14" x14ac:dyDescent="0.2">
      <c r="A232" s="10"/>
      <c r="B232" s="10"/>
      <c r="C232" s="9"/>
      <c r="D232" s="9"/>
      <c r="E232" s="11"/>
      <c r="F232" s="15"/>
      <c r="G232" s="15"/>
      <c r="H232" s="15"/>
      <c r="I232" s="15"/>
      <c r="J232" s="15"/>
      <c r="K232" s="15"/>
      <c r="L232" s="15"/>
      <c r="M232" s="18"/>
      <c r="N232" s="18"/>
    </row>
    <row r="233" spans="1:14" x14ac:dyDescent="0.2">
      <c r="A233" s="10"/>
      <c r="B233" s="10"/>
      <c r="C233" s="9"/>
      <c r="D233" s="9"/>
      <c r="E233" s="11"/>
      <c r="F233" s="15"/>
      <c r="G233" s="15"/>
      <c r="H233" s="15"/>
      <c r="I233" s="15"/>
      <c r="J233" s="15"/>
      <c r="K233" s="15"/>
      <c r="L233" s="15"/>
      <c r="M233" s="18"/>
      <c r="N233" s="18"/>
    </row>
    <row r="234" spans="1:14" x14ac:dyDescent="0.2">
      <c r="A234" s="10"/>
      <c r="B234" s="10"/>
      <c r="C234" s="9"/>
      <c r="D234" s="9"/>
      <c r="E234" s="11"/>
      <c r="F234" s="15"/>
      <c r="G234" s="15"/>
      <c r="H234" s="15"/>
      <c r="I234" s="15"/>
      <c r="J234" s="15"/>
      <c r="K234" s="15"/>
      <c r="L234" s="15"/>
      <c r="M234" s="18"/>
      <c r="N234" s="18"/>
    </row>
    <row r="235" spans="1:14" x14ac:dyDescent="0.2">
      <c r="A235" s="10"/>
      <c r="B235" s="10"/>
      <c r="C235" s="9"/>
      <c r="D235" s="9"/>
      <c r="E235" s="11"/>
      <c r="F235" s="15"/>
      <c r="G235" s="15"/>
      <c r="H235" s="15"/>
      <c r="I235" s="15"/>
      <c r="J235" s="15"/>
      <c r="K235" s="15"/>
      <c r="L235" s="15"/>
      <c r="M235" s="18"/>
      <c r="N235" s="18"/>
    </row>
    <row r="236" spans="1:14" x14ac:dyDescent="0.2">
      <c r="A236" s="10"/>
      <c r="B236" s="10"/>
      <c r="C236" s="9"/>
      <c r="D236" s="9"/>
      <c r="E236" s="11"/>
      <c r="F236" s="15"/>
      <c r="G236" s="15"/>
      <c r="H236" s="15"/>
      <c r="I236" s="15"/>
      <c r="J236" s="15"/>
      <c r="K236" s="15"/>
      <c r="L236" s="15"/>
      <c r="M236" s="18"/>
      <c r="N236" s="18"/>
    </row>
    <row r="237" spans="1:14" x14ac:dyDescent="0.2">
      <c r="A237" s="10"/>
      <c r="B237" s="10"/>
      <c r="C237" s="9"/>
      <c r="D237" s="9"/>
      <c r="E237" s="11"/>
      <c r="F237" s="15"/>
      <c r="G237" s="15"/>
      <c r="H237" s="15"/>
      <c r="I237" s="15"/>
      <c r="J237" s="15"/>
      <c r="K237" s="15"/>
      <c r="L237" s="15"/>
      <c r="M237" s="18"/>
      <c r="N237" s="18"/>
    </row>
    <row r="238" spans="1:14" x14ac:dyDescent="0.2">
      <c r="A238" s="10"/>
      <c r="B238" s="10"/>
      <c r="C238" s="9"/>
      <c r="D238" s="9"/>
      <c r="E238" s="11"/>
      <c r="F238" s="15"/>
      <c r="G238" s="15"/>
      <c r="H238" s="15"/>
      <c r="I238" s="15"/>
      <c r="J238" s="15"/>
      <c r="K238" s="15"/>
      <c r="L238" s="15"/>
      <c r="M238" s="18"/>
      <c r="N238" s="18"/>
    </row>
    <row r="239" spans="1:14" x14ac:dyDescent="0.2">
      <c r="A239" s="10"/>
      <c r="B239" s="10"/>
      <c r="C239" s="9"/>
      <c r="D239" s="9"/>
      <c r="E239" s="11"/>
      <c r="F239" s="15"/>
      <c r="G239" s="15"/>
      <c r="H239" s="15"/>
      <c r="I239" s="15"/>
      <c r="J239" s="15"/>
      <c r="K239" s="15"/>
      <c r="L239" s="15"/>
      <c r="M239" s="18"/>
      <c r="N239" s="18"/>
    </row>
    <row r="240" spans="1:14" x14ac:dyDescent="0.2">
      <c r="A240" s="10"/>
      <c r="B240" s="10"/>
      <c r="C240" s="9"/>
      <c r="D240" s="9"/>
      <c r="E240" s="11"/>
      <c r="F240" s="15"/>
      <c r="G240" s="15"/>
      <c r="H240" s="15"/>
      <c r="I240" s="15"/>
      <c r="J240" s="15"/>
      <c r="K240" s="15"/>
      <c r="L240" s="15"/>
      <c r="M240" s="18"/>
      <c r="N240" s="18"/>
    </row>
    <row r="241" spans="1:14" x14ac:dyDescent="0.2">
      <c r="A241" s="10"/>
      <c r="B241" s="10"/>
      <c r="C241" s="9"/>
      <c r="D241" s="9"/>
      <c r="E241" s="11"/>
      <c r="F241" s="15"/>
      <c r="G241" s="15"/>
      <c r="H241" s="15"/>
      <c r="I241" s="15"/>
      <c r="J241" s="15"/>
      <c r="K241" s="15"/>
      <c r="L241" s="15"/>
      <c r="M241" s="18"/>
      <c r="N241" s="18"/>
    </row>
    <row r="242" spans="1:14" x14ac:dyDescent="0.2">
      <c r="A242" s="10"/>
      <c r="B242" s="10"/>
      <c r="C242" s="9"/>
      <c r="D242" s="9"/>
      <c r="E242" s="11"/>
      <c r="F242" s="15"/>
      <c r="G242" s="15"/>
      <c r="H242" s="15"/>
      <c r="I242" s="15"/>
      <c r="J242" s="15"/>
      <c r="K242" s="15"/>
      <c r="L242" s="15"/>
      <c r="M242" s="18"/>
      <c r="N242" s="18"/>
    </row>
    <row r="243" spans="1:14" x14ac:dyDescent="0.2">
      <c r="A243" s="10"/>
      <c r="B243" s="10"/>
      <c r="C243" s="9"/>
      <c r="D243" s="9"/>
      <c r="E243" s="11"/>
      <c r="F243" s="15"/>
      <c r="G243" s="15"/>
      <c r="H243" s="15"/>
      <c r="I243" s="15"/>
      <c r="J243" s="15"/>
      <c r="K243" s="15"/>
      <c r="L243" s="15"/>
      <c r="M243" s="18"/>
      <c r="N243" s="18"/>
    </row>
    <row r="244" spans="1:14" x14ac:dyDescent="0.2">
      <c r="A244" s="10"/>
      <c r="B244" s="10"/>
      <c r="C244" s="9"/>
      <c r="D244" s="9"/>
      <c r="E244" s="11"/>
      <c r="F244" s="15"/>
      <c r="G244" s="15"/>
      <c r="H244" s="15"/>
      <c r="I244" s="15"/>
      <c r="J244" s="15"/>
      <c r="K244" s="15"/>
      <c r="L244" s="15"/>
      <c r="M244" s="18"/>
      <c r="N244" s="18"/>
    </row>
    <row r="245" spans="1:14" x14ac:dyDescent="0.2">
      <c r="A245" s="10"/>
      <c r="B245" s="10"/>
      <c r="C245" s="9"/>
      <c r="D245" s="9"/>
      <c r="E245" s="11"/>
      <c r="F245" s="15"/>
      <c r="G245" s="15"/>
      <c r="H245" s="15"/>
      <c r="I245" s="15"/>
      <c r="J245" s="15"/>
      <c r="K245" s="15"/>
      <c r="L245" s="15"/>
      <c r="M245" s="18"/>
      <c r="N245" s="18"/>
    </row>
    <row r="246" spans="1:14" x14ac:dyDescent="0.2">
      <c r="A246" s="10"/>
      <c r="B246" s="10"/>
      <c r="C246" s="9"/>
      <c r="D246" s="9"/>
      <c r="E246" s="11"/>
      <c r="F246" s="15"/>
      <c r="G246" s="15"/>
      <c r="H246" s="15"/>
      <c r="I246" s="15"/>
      <c r="J246" s="15"/>
      <c r="K246" s="15"/>
      <c r="L246" s="15"/>
      <c r="M246" s="18"/>
      <c r="N246" s="18"/>
    </row>
    <row r="247" spans="1:14" x14ac:dyDescent="0.2">
      <c r="A247" s="10"/>
      <c r="B247" s="10"/>
      <c r="C247" s="9"/>
      <c r="D247" s="9"/>
      <c r="E247" s="11"/>
      <c r="F247" s="15"/>
      <c r="G247" s="15"/>
      <c r="H247" s="15"/>
      <c r="I247" s="15"/>
      <c r="J247" s="15"/>
      <c r="K247" s="15"/>
      <c r="L247" s="15"/>
      <c r="M247" s="18"/>
      <c r="N247" s="18"/>
    </row>
    <row r="248" spans="1:14" x14ac:dyDescent="0.2">
      <c r="A248" s="10"/>
      <c r="B248" s="10"/>
      <c r="C248" s="9"/>
      <c r="D248" s="9"/>
      <c r="E248" s="11"/>
      <c r="F248" s="15"/>
      <c r="G248" s="15"/>
      <c r="H248" s="15"/>
      <c r="I248" s="15"/>
      <c r="J248" s="15"/>
      <c r="K248" s="15"/>
      <c r="L248" s="15"/>
      <c r="M248" s="18"/>
      <c r="N248" s="18"/>
    </row>
    <row r="249" spans="1:14" x14ac:dyDescent="0.2">
      <c r="A249" s="10"/>
      <c r="B249" s="10"/>
      <c r="C249" s="9"/>
      <c r="D249" s="9"/>
      <c r="E249" s="11"/>
      <c r="F249" s="15"/>
      <c r="G249" s="15"/>
      <c r="H249" s="15"/>
      <c r="I249" s="15"/>
      <c r="J249" s="15"/>
      <c r="K249" s="15"/>
      <c r="L249" s="15"/>
      <c r="M249" s="18"/>
      <c r="N249" s="18"/>
    </row>
    <row r="250" spans="1:14" x14ac:dyDescent="0.2">
      <c r="A250" s="10"/>
      <c r="B250" s="10"/>
      <c r="C250" s="9"/>
      <c r="D250" s="9"/>
      <c r="E250" s="11"/>
      <c r="F250" s="15"/>
      <c r="G250" s="15"/>
      <c r="H250" s="15"/>
      <c r="I250" s="15"/>
      <c r="J250" s="15"/>
      <c r="K250" s="15"/>
      <c r="L250" s="15"/>
      <c r="M250" s="18"/>
      <c r="N250" s="18"/>
    </row>
    <row r="251" spans="1:14" x14ac:dyDescent="0.2">
      <c r="A251" s="10"/>
      <c r="B251" s="10"/>
      <c r="C251" s="9"/>
      <c r="D251" s="9"/>
      <c r="E251" s="11"/>
      <c r="F251" s="15"/>
      <c r="G251" s="15"/>
      <c r="H251" s="15"/>
      <c r="I251" s="15"/>
      <c r="J251" s="15"/>
      <c r="K251" s="15"/>
      <c r="L251" s="15"/>
      <c r="M251" s="18"/>
      <c r="N251" s="18"/>
    </row>
    <row r="252" spans="1:14" x14ac:dyDescent="0.2">
      <c r="A252" s="10"/>
      <c r="B252" s="10"/>
      <c r="C252" s="9"/>
      <c r="D252" s="9"/>
      <c r="E252" s="11"/>
      <c r="F252" s="15"/>
      <c r="G252" s="15"/>
      <c r="H252" s="15"/>
      <c r="I252" s="15"/>
      <c r="J252" s="15"/>
      <c r="K252" s="15"/>
      <c r="L252" s="15"/>
      <c r="M252" s="18"/>
      <c r="N252" s="18"/>
    </row>
    <row r="253" spans="1:14" x14ac:dyDescent="0.2">
      <c r="A253" s="10"/>
      <c r="B253" s="10"/>
      <c r="C253" s="9"/>
      <c r="D253" s="9"/>
      <c r="E253" s="11"/>
      <c r="F253" s="15"/>
      <c r="G253" s="15"/>
      <c r="H253" s="15"/>
      <c r="I253" s="15"/>
      <c r="J253" s="15"/>
      <c r="K253" s="15"/>
      <c r="L253" s="15"/>
      <c r="M253" s="18"/>
      <c r="N253" s="18"/>
    </row>
    <row r="254" spans="1:14" x14ac:dyDescent="0.2">
      <c r="A254" s="10"/>
      <c r="B254" s="10"/>
      <c r="C254" s="9"/>
      <c r="D254" s="9"/>
      <c r="E254" s="11"/>
      <c r="F254" s="15"/>
      <c r="G254" s="15"/>
      <c r="H254" s="15"/>
      <c r="I254" s="15"/>
      <c r="J254" s="15"/>
      <c r="K254" s="15"/>
      <c r="L254" s="15"/>
      <c r="M254" s="18"/>
      <c r="N254" s="18"/>
    </row>
    <row r="255" spans="1:14" x14ac:dyDescent="0.2">
      <c r="A255" s="10"/>
      <c r="B255" s="10"/>
      <c r="C255" s="9"/>
      <c r="D255" s="9"/>
      <c r="E255" s="11"/>
      <c r="F255" s="15"/>
      <c r="G255" s="15"/>
      <c r="H255" s="15"/>
      <c r="I255" s="15"/>
      <c r="J255" s="15"/>
      <c r="K255" s="15"/>
      <c r="L255" s="15"/>
      <c r="M255" s="18"/>
      <c r="N255" s="18"/>
    </row>
    <row r="256" spans="1:14" x14ac:dyDescent="0.2">
      <c r="A256" s="10"/>
      <c r="B256" s="10"/>
      <c r="C256" s="9"/>
      <c r="D256" s="9"/>
      <c r="E256" s="11"/>
      <c r="F256" s="15"/>
      <c r="G256" s="15"/>
      <c r="H256" s="15"/>
      <c r="I256" s="15"/>
      <c r="J256" s="15"/>
      <c r="K256" s="15"/>
      <c r="L256" s="15"/>
      <c r="M256" s="18"/>
      <c r="N256" s="18"/>
    </row>
    <row r="257" spans="1:14" x14ac:dyDescent="0.2">
      <c r="A257" s="10"/>
      <c r="B257" s="10"/>
      <c r="C257" s="9"/>
      <c r="D257" s="9"/>
      <c r="E257" s="11"/>
      <c r="F257" s="15"/>
      <c r="G257" s="15"/>
      <c r="H257" s="15"/>
      <c r="I257" s="15"/>
      <c r="J257" s="15"/>
      <c r="K257" s="15"/>
      <c r="L257" s="15"/>
      <c r="M257" s="18"/>
      <c r="N257" s="18"/>
    </row>
    <row r="258" spans="1:14" x14ac:dyDescent="0.2">
      <c r="A258" s="10"/>
      <c r="B258" s="10"/>
      <c r="C258" s="9"/>
      <c r="D258" s="9"/>
      <c r="E258" s="11"/>
      <c r="F258" s="15"/>
      <c r="G258" s="15"/>
      <c r="H258" s="15"/>
      <c r="I258" s="15"/>
      <c r="J258" s="15"/>
      <c r="K258" s="15"/>
      <c r="L258" s="15"/>
      <c r="M258" s="18"/>
      <c r="N258" s="18"/>
    </row>
    <row r="259" spans="1:14" x14ac:dyDescent="0.2">
      <c r="A259" s="10"/>
      <c r="B259" s="10"/>
      <c r="C259" s="9"/>
      <c r="D259" s="9"/>
      <c r="E259" s="11"/>
      <c r="F259" s="15"/>
      <c r="G259" s="15"/>
      <c r="H259" s="15"/>
      <c r="I259" s="15"/>
      <c r="J259" s="15"/>
      <c r="K259" s="15"/>
      <c r="L259" s="15"/>
      <c r="M259" s="18"/>
      <c r="N259" s="18"/>
    </row>
    <row r="260" spans="1:14" x14ac:dyDescent="0.2">
      <c r="A260" s="10"/>
      <c r="B260" s="10"/>
      <c r="C260" s="9"/>
      <c r="D260" s="9"/>
      <c r="E260" s="11"/>
      <c r="F260" s="15"/>
      <c r="G260" s="15"/>
      <c r="H260" s="15"/>
      <c r="I260" s="15"/>
      <c r="J260" s="15"/>
      <c r="K260" s="15"/>
      <c r="L260" s="15"/>
      <c r="M260" s="18"/>
      <c r="N260" s="18"/>
    </row>
    <row r="261" spans="1:14" x14ac:dyDescent="0.2">
      <c r="A261" s="10"/>
      <c r="B261" s="10"/>
      <c r="C261" s="9"/>
      <c r="D261" s="9"/>
      <c r="E261" s="11"/>
      <c r="F261" s="15"/>
      <c r="G261" s="15"/>
      <c r="H261" s="15"/>
      <c r="I261" s="15"/>
      <c r="J261" s="15"/>
      <c r="K261" s="15"/>
      <c r="L261" s="15"/>
      <c r="M261" s="18"/>
      <c r="N261" s="18"/>
    </row>
    <row r="262" spans="1:14" x14ac:dyDescent="0.2">
      <c r="A262" s="10"/>
      <c r="B262" s="10"/>
      <c r="C262" s="9"/>
      <c r="D262" s="9"/>
      <c r="E262" s="11"/>
      <c r="F262" s="15"/>
      <c r="G262" s="15"/>
      <c r="H262" s="15"/>
      <c r="I262" s="15"/>
      <c r="J262" s="15"/>
      <c r="K262" s="15"/>
      <c r="L262" s="15"/>
      <c r="M262" s="18"/>
      <c r="N262" s="18"/>
    </row>
    <row r="263" spans="1:14" x14ac:dyDescent="0.2">
      <c r="A263" s="10"/>
      <c r="B263" s="10"/>
      <c r="C263" s="9"/>
      <c r="D263" s="9"/>
      <c r="E263" s="11"/>
      <c r="F263" s="15"/>
      <c r="G263" s="15"/>
      <c r="H263" s="15"/>
      <c r="I263" s="15"/>
      <c r="J263" s="15"/>
      <c r="K263" s="15"/>
      <c r="L263" s="15"/>
      <c r="M263" s="18"/>
      <c r="N263" s="18"/>
    </row>
    <row r="264" spans="1:14" x14ac:dyDescent="0.2">
      <c r="A264" s="10"/>
      <c r="B264" s="10"/>
      <c r="C264" s="9"/>
      <c r="D264" s="9"/>
      <c r="E264" s="11"/>
      <c r="F264" s="15"/>
      <c r="G264" s="15"/>
      <c r="H264" s="15"/>
      <c r="I264" s="15"/>
      <c r="J264" s="15"/>
      <c r="K264" s="15"/>
      <c r="L264" s="15"/>
      <c r="M264" s="18"/>
      <c r="N264" s="18"/>
    </row>
    <row r="265" spans="1:14" x14ac:dyDescent="0.2">
      <c r="A265" s="10"/>
      <c r="B265" s="10"/>
      <c r="C265" s="9"/>
      <c r="D265" s="9"/>
      <c r="E265" s="11"/>
      <c r="F265" s="15"/>
      <c r="G265" s="15"/>
      <c r="H265" s="15"/>
      <c r="I265" s="15"/>
      <c r="J265" s="15"/>
      <c r="K265" s="15"/>
      <c r="L265" s="15"/>
      <c r="M265" s="18"/>
      <c r="N265" s="18"/>
    </row>
    <row r="266" spans="1:14" x14ac:dyDescent="0.2">
      <c r="A266" s="10"/>
      <c r="B266" s="10"/>
      <c r="C266" s="9"/>
      <c r="D266" s="9"/>
      <c r="E266" s="11"/>
      <c r="F266" s="15"/>
      <c r="G266" s="15"/>
      <c r="H266" s="15"/>
      <c r="I266" s="15"/>
      <c r="J266" s="15"/>
      <c r="K266" s="15"/>
      <c r="L266" s="15"/>
      <c r="M266" s="18"/>
      <c r="N266" s="18"/>
    </row>
    <row r="267" spans="1:14" x14ac:dyDescent="0.2">
      <c r="A267" s="10"/>
      <c r="B267" s="10"/>
      <c r="C267" s="9"/>
      <c r="D267" s="9"/>
      <c r="E267" s="11"/>
      <c r="F267" s="15"/>
      <c r="G267" s="15"/>
      <c r="H267" s="15"/>
      <c r="I267" s="15"/>
      <c r="J267" s="15"/>
      <c r="K267" s="15"/>
      <c r="L267" s="15"/>
      <c r="M267" s="18"/>
      <c r="N267" s="18"/>
    </row>
    <row r="268" spans="1:14" x14ac:dyDescent="0.2">
      <c r="A268" s="10"/>
      <c r="B268" s="10"/>
      <c r="C268" s="9"/>
      <c r="D268" s="9"/>
      <c r="E268" s="11"/>
      <c r="F268" s="15"/>
      <c r="G268" s="15"/>
      <c r="H268" s="15"/>
      <c r="I268" s="15"/>
      <c r="J268" s="15"/>
      <c r="K268" s="15"/>
      <c r="L268" s="15"/>
      <c r="M268" s="18"/>
      <c r="N268" s="18"/>
    </row>
    <row r="269" spans="1:14" x14ac:dyDescent="0.2">
      <c r="A269" s="10"/>
      <c r="B269" s="10"/>
      <c r="C269" s="9"/>
      <c r="D269" s="9"/>
      <c r="E269" s="11"/>
      <c r="F269" s="15"/>
      <c r="G269" s="15"/>
      <c r="H269" s="15"/>
      <c r="I269" s="15"/>
      <c r="J269" s="15"/>
      <c r="K269" s="15"/>
      <c r="L269" s="15"/>
      <c r="M269" s="18"/>
      <c r="N269" s="18"/>
    </row>
    <row r="270" spans="1:14" x14ac:dyDescent="0.2">
      <c r="A270" s="10"/>
      <c r="B270" s="10"/>
      <c r="C270" s="9"/>
      <c r="D270" s="9"/>
      <c r="E270" s="11"/>
      <c r="F270" s="15"/>
      <c r="G270" s="15"/>
      <c r="H270" s="15"/>
      <c r="I270" s="15"/>
      <c r="J270" s="15"/>
      <c r="K270" s="15"/>
      <c r="L270" s="15"/>
      <c r="M270" s="18"/>
      <c r="N270" s="18"/>
    </row>
    <row r="271" spans="1:14" x14ac:dyDescent="0.2">
      <c r="A271" s="10"/>
      <c r="B271" s="10"/>
      <c r="C271" s="9"/>
      <c r="D271" s="9"/>
      <c r="E271" s="11"/>
      <c r="F271" s="15"/>
      <c r="G271" s="15"/>
      <c r="H271" s="15"/>
      <c r="I271" s="15"/>
      <c r="J271" s="15"/>
      <c r="K271" s="15"/>
      <c r="L271" s="15"/>
      <c r="M271" s="18"/>
      <c r="N271" s="18"/>
    </row>
    <row r="272" spans="1:14" x14ac:dyDescent="0.2">
      <c r="A272" s="10"/>
      <c r="B272" s="10"/>
      <c r="C272" s="9"/>
      <c r="D272" s="9"/>
      <c r="E272" s="11"/>
      <c r="F272" s="15"/>
      <c r="G272" s="15"/>
      <c r="H272" s="15"/>
      <c r="I272" s="15"/>
      <c r="J272" s="15"/>
      <c r="K272" s="15"/>
      <c r="L272" s="15"/>
      <c r="M272" s="18"/>
      <c r="N272" s="18"/>
    </row>
    <row r="273" spans="1:14" x14ac:dyDescent="0.2">
      <c r="A273" s="10"/>
      <c r="B273" s="10"/>
      <c r="C273" s="9"/>
      <c r="D273" s="9"/>
      <c r="E273" s="11"/>
      <c r="F273" s="15"/>
      <c r="G273" s="15"/>
      <c r="H273" s="15"/>
      <c r="I273" s="15"/>
      <c r="J273" s="15"/>
      <c r="K273" s="15"/>
      <c r="L273" s="15"/>
      <c r="M273" s="18"/>
      <c r="N273" s="18"/>
    </row>
    <row r="274" spans="1:14" x14ac:dyDescent="0.2">
      <c r="A274" s="10"/>
      <c r="B274" s="10"/>
      <c r="C274" s="9"/>
      <c r="D274" s="9"/>
      <c r="E274" s="11"/>
      <c r="F274" s="15"/>
      <c r="G274" s="15"/>
      <c r="H274" s="15"/>
      <c r="I274" s="15"/>
      <c r="J274" s="15"/>
      <c r="K274" s="15"/>
      <c r="L274" s="15"/>
      <c r="M274" s="18"/>
      <c r="N274" s="18"/>
    </row>
    <row r="275" spans="1:14" x14ac:dyDescent="0.2">
      <c r="A275" s="10"/>
      <c r="B275" s="10"/>
      <c r="C275" s="9"/>
      <c r="D275" s="9"/>
      <c r="E275" s="11"/>
      <c r="F275" s="15"/>
      <c r="G275" s="15"/>
      <c r="H275" s="15"/>
      <c r="I275" s="15"/>
      <c r="J275" s="15"/>
      <c r="K275" s="15"/>
      <c r="L275" s="15"/>
      <c r="M275" s="18"/>
      <c r="N275" s="18"/>
    </row>
    <row r="276" spans="1:14" x14ac:dyDescent="0.2">
      <c r="A276" s="10"/>
      <c r="B276" s="10"/>
      <c r="C276" s="9"/>
      <c r="D276" s="9"/>
      <c r="E276" s="11"/>
      <c r="F276" s="15"/>
      <c r="G276" s="15"/>
      <c r="H276" s="15"/>
      <c r="I276" s="15"/>
      <c r="J276" s="15"/>
      <c r="K276" s="15"/>
      <c r="L276" s="15"/>
      <c r="M276" s="18"/>
      <c r="N276" s="18"/>
    </row>
    <row r="277" spans="1:14" x14ac:dyDescent="0.2">
      <c r="A277" s="10"/>
      <c r="B277" s="10"/>
      <c r="C277" s="9"/>
      <c r="D277" s="9"/>
      <c r="E277" s="11"/>
      <c r="F277" s="15"/>
      <c r="G277" s="15"/>
      <c r="H277" s="15"/>
      <c r="I277" s="15"/>
      <c r="J277" s="15"/>
      <c r="K277" s="15"/>
      <c r="L277" s="15"/>
      <c r="M277" s="18"/>
      <c r="N277" s="18"/>
    </row>
    <row r="278" spans="1:14" x14ac:dyDescent="0.2">
      <c r="A278" s="10"/>
      <c r="B278" s="10"/>
      <c r="C278" s="9"/>
      <c r="D278" s="9"/>
      <c r="E278" s="11"/>
      <c r="F278" s="15"/>
      <c r="G278" s="15"/>
      <c r="H278" s="15"/>
      <c r="I278" s="15"/>
      <c r="J278" s="15"/>
      <c r="K278" s="15"/>
      <c r="L278" s="15"/>
      <c r="M278" s="18"/>
      <c r="N278" s="18"/>
    </row>
    <row r="279" spans="1:14" x14ac:dyDescent="0.2">
      <c r="A279" s="10"/>
      <c r="B279" s="10"/>
      <c r="C279" s="9"/>
      <c r="D279" s="9"/>
      <c r="E279" s="11"/>
      <c r="F279" s="15"/>
      <c r="G279" s="15"/>
      <c r="H279" s="15"/>
      <c r="I279" s="15"/>
      <c r="J279" s="15"/>
      <c r="K279" s="15"/>
      <c r="L279" s="15"/>
      <c r="M279" s="18"/>
      <c r="N279" s="18"/>
    </row>
    <row r="280" spans="1:14" x14ac:dyDescent="0.2">
      <c r="A280" s="10"/>
      <c r="B280" s="10"/>
      <c r="C280" s="9"/>
      <c r="D280" s="9"/>
      <c r="E280" s="11"/>
      <c r="F280" s="15"/>
      <c r="G280" s="15"/>
      <c r="H280" s="15"/>
      <c r="I280" s="15"/>
      <c r="J280" s="15"/>
      <c r="K280" s="15"/>
      <c r="L280" s="15"/>
      <c r="M280" s="18"/>
      <c r="N280" s="18"/>
    </row>
    <row r="281" spans="1:14" x14ac:dyDescent="0.2">
      <c r="A281" s="10"/>
      <c r="B281" s="10"/>
      <c r="C281" s="9"/>
      <c r="D281" s="9"/>
      <c r="E281" s="11"/>
      <c r="F281" s="15"/>
      <c r="G281" s="15"/>
      <c r="H281" s="15"/>
      <c r="I281" s="15"/>
      <c r="J281" s="15"/>
      <c r="K281" s="15"/>
      <c r="L281" s="15"/>
      <c r="M281" s="18"/>
      <c r="N281" s="18"/>
    </row>
    <row r="282" spans="1:14" x14ac:dyDescent="0.2">
      <c r="A282" s="10"/>
      <c r="B282" s="10"/>
      <c r="C282" s="9"/>
      <c r="D282" s="9"/>
      <c r="E282" s="11"/>
      <c r="F282" s="15"/>
      <c r="G282" s="15"/>
      <c r="H282" s="15"/>
      <c r="I282" s="15"/>
      <c r="J282" s="15"/>
      <c r="K282" s="15"/>
      <c r="L282" s="15"/>
      <c r="M282" s="18"/>
      <c r="N282" s="18"/>
    </row>
    <row r="283" spans="1:14" x14ac:dyDescent="0.2">
      <c r="A283" s="10"/>
      <c r="B283" s="10"/>
      <c r="C283" s="9"/>
      <c r="D283" s="9"/>
      <c r="E283" s="11"/>
      <c r="F283" s="15"/>
      <c r="G283" s="15"/>
      <c r="H283" s="15"/>
      <c r="I283" s="15"/>
      <c r="J283" s="15"/>
      <c r="K283" s="15"/>
      <c r="L283" s="15"/>
      <c r="M283" s="18"/>
      <c r="N283" s="18"/>
    </row>
    <row r="284" spans="1:14" x14ac:dyDescent="0.2">
      <c r="A284" s="10"/>
      <c r="B284" s="10"/>
      <c r="C284" s="9"/>
      <c r="D284" s="9"/>
      <c r="E284" s="11"/>
      <c r="F284" s="15"/>
      <c r="G284" s="15"/>
      <c r="H284" s="15"/>
      <c r="I284" s="15"/>
      <c r="J284" s="15"/>
      <c r="K284" s="15"/>
      <c r="L284" s="15"/>
      <c r="M284" s="18"/>
      <c r="N284" s="18"/>
    </row>
    <row r="285" spans="1:14" x14ac:dyDescent="0.2">
      <c r="A285" s="10"/>
      <c r="B285" s="10"/>
      <c r="C285" s="9"/>
      <c r="D285" s="9"/>
      <c r="E285" s="11"/>
      <c r="F285" s="15"/>
      <c r="G285" s="15"/>
      <c r="H285" s="15"/>
      <c r="I285" s="15"/>
      <c r="J285" s="15"/>
      <c r="K285" s="15"/>
      <c r="L285" s="15"/>
      <c r="M285" s="18"/>
      <c r="N285" s="18"/>
    </row>
    <row r="286" spans="1:14" x14ac:dyDescent="0.2">
      <c r="A286" s="10"/>
      <c r="B286" s="10"/>
      <c r="C286" s="9"/>
      <c r="D286" s="9"/>
      <c r="E286" s="11"/>
      <c r="F286" s="15"/>
      <c r="G286" s="15"/>
      <c r="H286" s="15"/>
      <c r="I286" s="15"/>
      <c r="J286" s="15"/>
      <c r="K286" s="15"/>
      <c r="L286" s="15"/>
      <c r="M286" s="18"/>
      <c r="N286" s="18"/>
    </row>
    <row r="287" spans="1:14" x14ac:dyDescent="0.2">
      <c r="A287" s="10"/>
      <c r="B287" s="10"/>
      <c r="C287" s="9"/>
      <c r="D287" s="9"/>
      <c r="E287" s="11"/>
      <c r="F287" s="15"/>
      <c r="G287" s="15"/>
      <c r="H287" s="15"/>
      <c r="I287" s="15"/>
      <c r="J287" s="15"/>
      <c r="K287" s="15"/>
      <c r="L287" s="15"/>
      <c r="M287" s="18"/>
      <c r="N287" s="18"/>
    </row>
    <row r="288" spans="1:14" x14ac:dyDescent="0.2">
      <c r="A288" s="10"/>
      <c r="B288" s="10"/>
      <c r="C288" s="9"/>
      <c r="D288" s="9"/>
      <c r="E288" s="11"/>
      <c r="F288" s="15"/>
      <c r="G288" s="15"/>
      <c r="H288" s="15"/>
      <c r="I288" s="15"/>
      <c r="J288" s="15"/>
      <c r="K288" s="15"/>
      <c r="L288" s="15"/>
      <c r="M288" s="18"/>
      <c r="N288" s="18"/>
    </row>
    <row r="289" spans="1:14" x14ac:dyDescent="0.2">
      <c r="A289" s="10"/>
      <c r="B289" s="10"/>
      <c r="C289" s="9"/>
      <c r="D289" s="9"/>
      <c r="E289" s="11"/>
      <c r="F289" s="15"/>
      <c r="G289" s="15"/>
      <c r="H289" s="15"/>
      <c r="I289" s="15"/>
      <c r="J289" s="15"/>
      <c r="K289" s="15"/>
      <c r="L289" s="15"/>
      <c r="M289" s="18"/>
      <c r="N289" s="18"/>
    </row>
    <row r="290" spans="1:14" x14ac:dyDescent="0.2">
      <c r="A290" s="10"/>
      <c r="B290" s="10"/>
      <c r="C290" s="9"/>
      <c r="D290" s="9"/>
      <c r="E290" s="11"/>
      <c r="F290" s="15"/>
      <c r="G290" s="15"/>
      <c r="H290" s="15"/>
      <c r="I290" s="15"/>
      <c r="J290" s="15"/>
      <c r="K290" s="15"/>
      <c r="L290" s="15"/>
      <c r="M290" s="18"/>
      <c r="N290" s="18"/>
    </row>
    <row r="291" spans="1:14" x14ac:dyDescent="0.2">
      <c r="A291" s="10"/>
      <c r="B291" s="10"/>
      <c r="C291" s="9"/>
      <c r="D291" s="9"/>
      <c r="E291" s="11"/>
      <c r="F291" s="15"/>
      <c r="G291" s="15"/>
      <c r="H291" s="15"/>
      <c r="I291" s="15"/>
      <c r="J291" s="15"/>
      <c r="K291" s="15"/>
      <c r="L291" s="15"/>
      <c r="M291" s="18"/>
      <c r="N291" s="18"/>
    </row>
    <row r="292" spans="1:14" x14ac:dyDescent="0.2">
      <c r="A292" s="10"/>
      <c r="B292" s="10"/>
      <c r="C292" s="9"/>
      <c r="D292" s="9"/>
      <c r="E292" s="11"/>
      <c r="F292" s="15"/>
      <c r="G292" s="15"/>
      <c r="H292" s="15"/>
      <c r="I292" s="15"/>
      <c r="J292" s="15"/>
      <c r="K292" s="15"/>
      <c r="L292" s="15"/>
      <c r="M292" s="18"/>
      <c r="N292" s="18"/>
    </row>
    <row r="293" spans="1:14" x14ac:dyDescent="0.2">
      <c r="A293" s="10"/>
      <c r="B293" s="10"/>
      <c r="C293" s="9"/>
      <c r="D293" s="9"/>
      <c r="E293" s="11"/>
      <c r="F293" s="15"/>
      <c r="G293" s="15"/>
      <c r="H293" s="15"/>
      <c r="I293" s="15"/>
      <c r="J293" s="15"/>
      <c r="K293" s="15"/>
      <c r="L293" s="15"/>
      <c r="M293" s="18"/>
      <c r="N293" s="18"/>
    </row>
    <row r="294" spans="1:14" x14ac:dyDescent="0.2">
      <c r="A294" s="10"/>
      <c r="B294" s="10"/>
      <c r="C294" s="9"/>
      <c r="D294" s="9"/>
      <c r="E294" s="11"/>
      <c r="F294" s="15"/>
      <c r="G294" s="15"/>
      <c r="H294" s="15"/>
      <c r="I294" s="15"/>
      <c r="J294" s="15"/>
      <c r="K294" s="15"/>
      <c r="L294" s="15"/>
      <c r="M294" s="18"/>
      <c r="N294" s="18"/>
    </row>
    <row r="295" spans="1:14" x14ac:dyDescent="0.2">
      <c r="A295" s="10"/>
      <c r="B295" s="10"/>
      <c r="C295" s="9"/>
      <c r="D295" s="9"/>
      <c r="E295" s="11"/>
      <c r="F295" s="15"/>
      <c r="G295" s="15"/>
      <c r="H295" s="15"/>
      <c r="I295" s="15"/>
      <c r="J295" s="15"/>
      <c r="K295" s="15"/>
      <c r="L295" s="15"/>
      <c r="M295" s="18"/>
      <c r="N295" s="18"/>
    </row>
    <row r="296" spans="1:14" x14ac:dyDescent="0.2">
      <c r="A296" s="10"/>
      <c r="B296" s="10"/>
      <c r="C296" s="9"/>
      <c r="D296" s="9"/>
      <c r="E296" s="11"/>
      <c r="F296" s="15"/>
      <c r="G296" s="15"/>
      <c r="H296" s="15"/>
      <c r="I296" s="15"/>
      <c r="J296" s="15"/>
      <c r="K296" s="15"/>
      <c r="L296" s="15"/>
      <c r="M296" s="18"/>
      <c r="N296" s="18"/>
    </row>
    <row r="297" spans="1:14" x14ac:dyDescent="0.2">
      <c r="A297" s="10"/>
      <c r="B297" s="10"/>
      <c r="C297" s="9"/>
      <c r="D297" s="9"/>
      <c r="E297" s="11"/>
      <c r="F297" s="15"/>
      <c r="G297" s="15"/>
      <c r="H297" s="15"/>
      <c r="I297" s="15"/>
      <c r="J297" s="15"/>
      <c r="K297" s="15"/>
      <c r="L297" s="15"/>
      <c r="M297" s="18"/>
      <c r="N297" s="18"/>
    </row>
    <row r="298" spans="1:14" x14ac:dyDescent="0.2">
      <c r="A298" s="10"/>
      <c r="B298" s="10"/>
      <c r="C298" s="9"/>
      <c r="D298" s="9"/>
      <c r="E298" s="11"/>
      <c r="F298" s="15"/>
      <c r="G298" s="15"/>
      <c r="H298" s="15"/>
      <c r="I298" s="15"/>
      <c r="J298" s="15"/>
      <c r="K298" s="15"/>
      <c r="L298" s="15"/>
      <c r="M298" s="18"/>
      <c r="N298" s="18"/>
    </row>
    <row r="299" spans="1:14" x14ac:dyDescent="0.2">
      <c r="A299" s="10"/>
      <c r="B299" s="10"/>
      <c r="C299" s="9"/>
      <c r="D299" s="9"/>
      <c r="E299" s="11"/>
      <c r="F299" s="15"/>
      <c r="G299" s="15"/>
      <c r="H299" s="15"/>
      <c r="I299" s="15"/>
      <c r="J299" s="15"/>
      <c r="K299" s="15"/>
      <c r="L299" s="15"/>
      <c r="M299" s="18"/>
      <c r="N299" s="18"/>
    </row>
    <row r="300" spans="1:14" x14ac:dyDescent="0.2">
      <c r="A300" s="10"/>
      <c r="B300" s="10"/>
      <c r="C300" s="9"/>
      <c r="D300" s="9"/>
      <c r="E300" s="11"/>
      <c r="F300" s="15"/>
      <c r="G300" s="15"/>
      <c r="H300" s="15"/>
      <c r="I300" s="15"/>
      <c r="J300" s="15"/>
      <c r="K300" s="15"/>
      <c r="L300" s="15"/>
      <c r="M300" s="18"/>
      <c r="N300" s="18"/>
    </row>
    <row r="301" spans="1:14" x14ac:dyDescent="0.2">
      <c r="A301" s="10"/>
      <c r="B301" s="10"/>
      <c r="C301" s="9"/>
      <c r="D301" s="9"/>
      <c r="E301" s="11"/>
      <c r="F301" s="15"/>
      <c r="G301" s="15"/>
      <c r="H301" s="15"/>
      <c r="I301" s="15"/>
      <c r="J301" s="15"/>
      <c r="K301" s="15"/>
      <c r="L301" s="15"/>
      <c r="M301" s="18"/>
      <c r="N301" s="18"/>
    </row>
    <row r="302" spans="1:14" x14ac:dyDescent="0.2">
      <c r="A302" s="10"/>
      <c r="B302" s="10"/>
      <c r="C302" s="9"/>
      <c r="D302" s="9"/>
      <c r="E302" s="11"/>
      <c r="F302" s="15"/>
      <c r="G302" s="15"/>
      <c r="H302" s="15"/>
      <c r="I302" s="15"/>
      <c r="J302" s="15"/>
      <c r="K302" s="15"/>
      <c r="L302" s="15"/>
      <c r="M302" s="18"/>
      <c r="N302" s="18"/>
    </row>
    <row r="303" spans="1:14" x14ac:dyDescent="0.2">
      <c r="A303" s="10"/>
      <c r="B303" s="10"/>
      <c r="C303" s="9"/>
      <c r="D303" s="9"/>
      <c r="E303" s="11"/>
      <c r="F303" s="15"/>
      <c r="G303" s="15"/>
      <c r="H303" s="15"/>
      <c r="I303" s="15"/>
      <c r="J303" s="15"/>
      <c r="K303" s="15"/>
      <c r="L303" s="15"/>
      <c r="M303" s="18"/>
      <c r="N303" s="18"/>
    </row>
    <row r="304" spans="1:14" x14ac:dyDescent="0.2">
      <c r="A304" s="10"/>
      <c r="B304" s="10"/>
      <c r="C304" s="9"/>
      <c r="D304" s="9"/>
      <c r="E304" s="11"/>
      <c r="F304" s="15"/>
      <c r="G304" s="15"/>
      <c r="H304" s="15"/>
      <c r="I304" s="15"/>
      <c r="J304" s="15"/>
      <c r="K304" s="15"/>
      <c r="L304" s="15"/>
      <c r="M304" s="18"/>
      <c r="N304" s="18"/>
    </row>
    <row r="305" spans="1:14" x14ac:dyDescent="0.2">
      <c r="A305" s="10"/>
      <c r="B305" s="10"/>
      <c r="C305" s="9"/>
      <c r="D305" s="9"/>
      <c r="E305" s="11"/>
      <c r="F305" s="15"/>
      <c r="G305" s="15"/>
      <c r="H305" s="15"/>
      <c r="I305" s="15"/>
      <c r="J305" s="15"/>
      <c r="K305" s="15"/>
      <c r="L305" s="15"/>
      <c r="M305" s="18"/>
      <c r="N305" s="18"/>
    </row>
    <row r="306" spans="1:14" x14ac:dyDescent="0.2">
      <c r="A306" s="10"/>
      <c r="B306" s="10"/>
      <c r="C306" s="9"/>
      <c r="D306" s="9"/>
      <c r="E306" s="11"/>
      <c r="F306" s="15"/>
      <c r="G306" s="15"/>
      <c r="H306" s="15"/>
      <c r="I306" s="15"/>
      <c r="J306" s="15"/>
      <c r="K306" s="15"/>
      <c r="L306" s="15"/>
      <c r="M306" s="18"/>
      <c r="N306" s="18"/>
    </row>
    <row r="307" spans="1:14" x14ac:dyDescent="0.2">
      <c r="A307" s="10"/>
      <c r="B307" s="10"/>
      <c r="C307" s="9"/>
      <c r="D307" s="9"/>
      <c r="E307" s="11"/>
      <c r="F307" s="15"/>
      <c r="G307" s="15"/>
      <c r="H307" s="15"/>
      <c r="I307" s="15"/>
      <c r="J307" s="15"/>
      <c r="K307" s="15"/>
      <c r="L307" s="15"/>
      <c r="M307" s="18"/>
      <c r="N307" s="18"/>
    </row>
    <row r="308" spans="1:14" x14ac:dyDescent="0.2">
      <c r="A308" s="10"/>
      <c r="B308" s="10"/>
      <c r="C308" s="9"/>
      <c r="D308" s="9"/>
      <c r="E308" s="11"/>
      <c r="F308" s="15"/>
      <c r="G308" s="15"/>
      <c r="H308" s="15"/>
      <c r="I308" s="15"/>
      <c r="J308" s="15"/>
      <c r="K308" s="15"/>
      <c r="L308" s="15"/>
      <c r="M308" s="18"/>
      <c r="N308" s="18"/>
    </row>
    <row r="309" spans="1:14" x14ac:dyDescent="0.2">
      <c r="A309" s="10"/>
      <c r="B309" s="10"/>
      <c r="C309" s="9"/>
      <c r="D309" s="9"/>
      <c r="E309" s="11"/>
      <c r="F309" s="15"/>
      <c r="G309" s="15"/>
      <c r="H309" s="15"/>
      <c r="I309" s="15"/>
      <c r="J309" s="15"/>
      <c r="K309" s="15"/>
      <c r="L309" s="15"/>
      <c r="M309" s="18"/>
      <c r="N309" s="18"/>
    </row>
    <row r="310" spans="1:14" x14ac:dyDescent="0.2">
      <c r="A310" s="10"/>
      <c r="B310" s="10"/>
      <c r="C310" s="9"/>
      <c r="D310" s="9"/>
      <c r="E310" s="11"/>
      <c r="F310" s="15"/>
      <c r="G310" s="15"/>
      <c r="H310" s="15"/>
      <c r="I310" s="15"/>
      <c r="J310" s="15"/>
      <c r="K310" s="15"/>
      <c r="L310" s="15"/>
      <c r="M310" s="18"/>
      <c r="N310" s="18"/>
    </row>
    <row r="311" spans="1:14" x14ac:dyDescent="0.2">
      <c r="A311" s="10"/>
      <c r="B311" s="10"/>
      <c r="C311" s="9"/>
      <c r="D311" s="9"/>
      <c r="E311" s="11"/>
      <c r="F311" s="15"/>
      <c r="G311" s="15"/>
      <c r="H311" s="15"/>
      <c r="I311" s="15"/>
      <c r="J311" s="15"/>
      <c r="K311" s="15"/>
      <c r="L311" s="15"/>
      <c r="M311" s="18"/>
      <c r="N311" s="18"/>
    </row>
    <row r="312" spans="1:14" x14ac:dyDescent="0.2">
      <c r="A312" s="10"/>
      <c r="B312" s="10"/>
      <c r="C312" s="9"/>
      <c r="D312" s="9"/>
      <c r="E312" s="11"/>
      <c r="F312" s="15"/>
      <c r="G312" s="15"/>
      <c r="H312" s="15"/>
      <c r="I312" s="15"/>
      <c r="J312" s="15"/>
      <c r="K312" s="15"/>
      <c r="L312" s="15"/>
      <c r="M312" s="18"/>
      <c r="N312" s="18"/>
    </row>
    <row r="313" spans="1:14" x14ac:dyDescent="0.2">
      <c r="A313" s="10"/>
      <c r="B313" s="10"/>
      <c r="C313" s="9"/>
      <c r="D313" s="9"/>
      <c r="E313" s="11"/>
      <c r="F313" s="15"/>
      <c r="G313" s="15"/>
      <c r="H313" s="15"/>
      <c r="I313" s="15"/>
      <c r="J313" s="15"/>
      <c r="K313" s="15"/>
      <c r="L313" s="15"/>
      <c r="M313" s="18"/>
      <c r="N313" s="18"/>
    </row>
    <row r="314" spans="1:14" x14ac:dyDescent="0.2">
      <c r="A314" s="10"/>
      <c r="B314" s="10"/>
      <c r="C314" s="9"/>
      <c r="D314" s="9"/>
      <c r="E314" s="11"/>
      <c r="F314" s="15"/>
      <c r="G314" s="15"/>
      <c r="H314" s="15"/>
      <c r="I314" s="15"/>
      <c r="J314" s="15"/>
      <c r="K314" s="15"/>
      <c r="L314" s="15"/>
      <c r="M314" s="18"/>
      <c r="N314" s="18"/>
    </row>
    <row r="315" spans="1:14" x14ac:dyDescent="0.2">
      <c r="A315" s="10"/>
      <c r="B315" s="10"/>
      <c r="C315" s="9"/>
      <c r="D315" s="9"/>
      <c r="E315" s="11"/>
      <c r="F315" s="15"/>
      <c r="G315" s="15"/>
      <c r="H315" s="15"/>
      <c r="I315" s="15"/>
      <c r="J315" s="15"/>
      <c r="K315" s="15"/>
      <c r="L315" s="15"/>
      <c r="M315" s="18"/>
      <c r="N315" s="18"/>
    </row>
    <row r="316" spans="1:14" x14ac:dyDescent="0.2">
      <c r="A316" s="10"/>
      <c r="B316" s="10"/>
      <c r="C316" s="9"/>
      <c r="D316" s="9"/>
      <c r="E316" s="11"/>
      <c r="F316" s="15"/>
      <c r="G316" s="15"/>
      <c r="H316" s="15"/>
      <c r="I316" s="15"/>
      <c r="J316" s="15"/>
      <c r="K316" s="15"/>
      <c r="L316" s="15"/>
      <c r="M316" s="18"/>
      <c r="N316" s="18"/>
    </row>
    <row r="317" spans="1:14" x14ac:dyDescent="0.2">
      <c r="A317" s="10"/>
      <c r="B317" s="10"/>
      <c r="C317" s="9"/>
      <c r="D317" s="9"/>
      <c r="E317" s="11"/>
      <c r="F317" s="15"/>
      <c r="G317" s="15"/>
      <c r="H317" s="15"/>
      <c r="I317" s="15"/>
      <c r="J317" s="15"/>
      <c r="K317" s="15"/>
      <c r="L317" s="15"/>
      <c r="M317" s="18"/>
      <c r="N317" s="18"/>
    </row>
    <row r="318" spans="1:14" x14ac:dyDescent="0.2">
      <c r="A318" s="10"/>
      <c r="B318" s="10"/>
      <c r="C318" s="9"/>
      <c r="D318" s="9"/>
      <c r="E318" s="11"/>
      <c r="F318" s="15"/>
      <c r="G318" s="15"/>
      <c r="H318" s="15"/>
      <c r="I318" s="15"/>
      <c r="J318" s="15"/>
      <c r="K318" s="15"/>
      <c r="L318" s="15"/>
      <c r="M318" s="18"/>
      <c r="N318" s="18"/>
    </row>
    <row r="319" spans="1:14" x14ac:dyDescent="0.2">
      <c r="A319" s="10"/>
      <c r="B319" s="10"/>
      <c r="C319" s="9"/>
      <c r="D319" s="9"/>
      <c r="E319" s="11"/>
      <c r="F319" s="15"/>
      <c r="G319" s="15"/>
      <c r="H319" s="15"/>
      <c r="I319" s="15"/>
      <c r="J319" s="15"/>
      <c r="K319" s="15"/>
      <c r="L319" s="15"/>
      <c r="M319" s="18"/>
      <c r="N319" s="18"/>
    </row>
    <row r="320" spans="1:14" x14ac:dyDescent="0.2">
      <c r="A320" s="10"/>
      <c r="B320" s="10"/>
      <c r="C320" s="9"/>
      <c r="D320" s="9"/>
      <c r="E320" s="11"/>
      <c r="F320" s="15"/>
      <c r="G320" s="15"/>
      <c r="H320" s="15"/>
      <c r="I320" s="15"/>
      <c r="J320" s="15"/>
      <c r="K320" s="15"/>
      <c r="L320" s="15"/>
      <c r="M320" s="18"/>
      <c r="N320" s="18"/>
    </row>
    <row r="321" spans="1:14" x14ac:dyDescent="0.2">
      <c r="A321" s="10"/>
      <c r="B321" s="10"/>
      <c r="C321" s="9"/>
      <c r="D321" s="9"/>
      <c r="E321" s="11"/>
      <c r="F321" s="15"/>
      <c r="G321" s="15"/>
      <c r="H321" s="15"/>
      <c r="I321" s="15"/>
      <c r="J321" s="15"/>
      <c r="K321" s="15"/>
      <c r="L321" s="15"/>
      <c r="M321" s="18"/>
      <c r="N321" s="18"/>
    </row>
    <row r="322" spans="1:14" x14ac:dyDescent="0.2">
      <c r="A322" s="10"/>
      <c r="B322" s="10"/>
      <c r="C322" s="9"/>
      <c r="D322" s="9"/>
      <c r="E322" s="11"/>
      <c r="F322" s="15"/>
      <c r="G322" s="15"/>
      <c r="H322" s="15"/>
      <c r="I322" s="15"/>
      <c r="J322" s="15"/>
      <c r="K322" s="15"/>
      <c r="L322" s="15"/>
      <c r="M322" s="18"/>
      <c r="N322" s="18"/>
    </row>
    <row r="323" spans="1:14" x14ac:dyDescent="0.2">
      <c r="A323" s="10"/>
      <c r="B323" s="10"/>
      <c r="C323" s="9"/>
      <c r="D323" s="9"/>
      <c r="E323" s="11"/>
      <c r="F323" s="15"/>
      <c r="G323" s="15"/>
      <c r="H323" s="15"/>
      <c r="I323" s="15"/>
      <c r="J323" s="15"/>
      <c r="K323" s="15"/>
      <c r="L323" s="15"/>
      <c r="M323" s="18"/>
      <c r="N323" s="18"/>
    </row>
    <row r="324" spans="1:14" x14ac:dyDescent="0.2">
      <c r="A324" s="10"/>
      <c r="B324" s="10"/>
      <c r="C324" s="9"/>
      <c r="D324" s="9"/>
      <c r="E324" s="11"/>
      <c r="F324" s="15"/>
      <c r="G324" s="15"/>
      <c r="H324" s="15"/>
      <c r="I324" s="15"/>
      <c r="J324" s="15"/>
      <c r="K324" s="15"/>
      <c r="L324" s="15"/>
      <c r="M324" s="18"/>
      <c r="N324" s="18"/>
    </row>
    <row r="325" spans="1:14" x14ac:dyDescent="0.2">
      <c r="A325" s="10"/>
      <c r="B325" s="10"/>
      <c r="C325" s="9"/>
      <c r="D325" s="9"/>
      <c r="E325" s="11"/>
      <c r="F325" s="15"/>
      <c r="G325" s="15"/>
      <c r="H325" s="15"/>
      <c r="I325" s="15"/>
      <c r="J325" s="15"/>
      <c r="K325" s="15"/>
      <c r="L325" s="15"/>
      <c r="M325" s="18"/>
      <c r="N325" s="18"/>
    </row>
    <row r="326" spans="1:14" x14ac:dyDescent="0.2">
      <c r="A326" s="10"/>
      <c r="B326" s="10"/>
      <c r="C326" s="9"/>
      <c r="D326" s="9"/>
      <c r="E326" s="11"/>
      <c r="F326" s="15"/>
      <c r="G326" s="15"/>
      <c r="H326" s="15"/>
      <c r="I326" s="15"/>
      <c r="J326" s="15"/>
      <c r="K326" s="15"/>
      <c r="L326" s="15"/>
      <c r="M326" s="18"/>
      <c r="N326" s="18"/>
    </row>
    <row r="327" spans="1:14" x14ac:dyDescent="0.2">
      <c r="A327" s="10"/>
      <c r="B327" s="10"/>
      <c r="C327" s="9"/>
      <c r="D327" s="9"/>
      <c r="E327" s="11"/>
      <c r="F327" s="15"/>
      <c r="G327" s="15"/>
      <c r="H327" s="15"/>
      <c r="I327" s="15"/>
      <c r="J327" s="15"/>
      <c r="K327" s="15"/>
      <c r="L327" s="15"/>
      <c r="M327" s="18"/>
      <c r="N327" s="18"/>
    </row>
    <row r="328" spans="1:14" x14ac:dyDescent="0.2">
      <c r="A328" s="10"/>
      <c r="B328" s="10"/>
      <c r="C328" s="9"/>
      <c r="D328" s="9"/>
      <c r="E328" s="11"/>
      <c r="F328" s="15"/>
      <c r="G328" s="15"/>
      <c r="H328" s="15"/>
      <c r="I328" s="15"/>
      <c r="J328" s="15"/>
      <c r="K328" s="15"/>
      <c r="L328" s="15"/>
      <c r="M328" s="18"/>
      <c r="N328" s="18"/>
    </row>
    <row r="329" spans="1:14" x14ac:dyDescent="0.2">
      <c r="A329" s="10"/>
      <c r="B329" s="10"/>
      <c r="C329" s="9"/>
      <c r="D329" s="9"/>
      <c r="E329" s="11"/>
      <c r="F329" s="15"/>
      <c r="G329" s="15"/>
      <c r="H329" s="15"/>
      <c r="I329" s="15"/>
      <c r="J329" s="15"/>
      <c r="K329" s="15"/>
      <c r="L329" s="15"/>
      <c r="M329" s="18"/>
      <c r="N329" s="18"/>
    </row>
    <row r="330" spans="1:14" x14ac:dyDescent="0.2">
      <c r="A330" s="10"/>
      <c r="B330" s="10"/>
      <c r="C330" s="9"/>
      <c r="D330" s="9"/>
      <c r="E330" s="11"/>
      <c r="F330" s="15"/>
      <c r="G330" s="15"/>
      <c r="H330" s="15"/>
      <c r="I330" s="15"/>
      <c r="J330" s="15"/>
      <c r="K330" s="15"/>
      <c r="L330" s="15"/>
      <c r="M330" s="18"/>
      <c r="N330" s="18"/>
    </row>
    <row r="331" spans="1:14" x14ac:dyDescent="0.2">
      <c r="A331" s="10"/>
      <c r="B331" s="10"/>
      <c r="C331" s="9"/>
      <c r="D331" s="9"/>
      <c r="E331" s="11"/>
      <c r="F331" s="15"/>
      <c r="G331" s="15"/>
      <c r="H331" s="15"/>
      <c r="I331" s="15"/>
      <c r="J331" s="15"/>
      <c r="K331" s="15"/>
      <c r="L331" s="15"/>
      <c r="M331" s="18"/>
      <c r="N331" s="18"/>
    </row>
    <row r="332" spans="1:14" x14ac:dyDescent="0.2">
      <c r="A332" s="10"/>
      <c r="B332" s="10"/>
      <c r="C332" s="9"/>
      <c r="D332" s="9"/>
      <c r="E332" s="11"/>
      <c r="F332" s="15"/>
      <c r="G332" s="15"/>
      <c r="H332" s="15"/>
      <c r="I332" s="15"/>
      <c r="J332" s="15"/>
      <c r="K332" s="15"/>
      <c r="L332" s="15"/>
      <c r="M332" s="18"/>
      <c r="N332" s="18"/>
    </row>
    <row r="333" spans="1:14" x14ac:dyDescent="0.2">
      <c r="A333" s="10"/>
      <c r="B333" s="10"/>
      <c r="C333" s="9"/>
      <c r="D333" s="9"/>
      <c r="E333" s="11"/>
      <c r="F333" s="15"/>
      <c r="G333" s="15"/>
      <c r="H333" s="15"/>
      <c r="I333" s="15"/>
      <c r="J333" s="15"/>
      <c r="K333" s="15"/>
      <c r="L333" s="15"/>
      <c r="M333" s="18"/>
      <c r="N333" s="18"/>
    </row>
    <row r="334" spans="1:14" x14ac:dyDescent="0.2">
      <c r="A334" s="10"/>
      <c r="B334" s="10"/>
      <c r="C334" s="9"/>
      <c r="D334" s="9"/>
      <c r="E334" s="11"/>
      <c r="F334" s="15"/>
      <c r="G334" s="15"/>
      <c r="H334" s="15"/>
      <c r="I334" s="15"/>
      <c r="J334" s="15"/>
      <c r="K334" s="15"/>
      <c r="L334" s="15"/>
      <c r="M334" s="18"/>
      <c r="N334" s="18"/>
    </row>
    <row r="335" spans="1:14" x14ac:dyDescent="0.2">
      <c r="A335" s="10"/>
      <c r="B335" s="10"/>
      <c r="C335" s="9"/>
      <c r="D335" s="9"/>
      <c r="E335" s="11"/>
      <c r="F335" s="15"/>
      <c r="G335" s="15"/>
      <c r="H335" s="15"/>
      <c r="I335" s="15"/>
      <c r="J335" s="15"/>
      <c r="K335" s="15"/>
      <c r="L335" s="15"/>
      <c r="M335" s="18"/>
      <c r="N335" s="18"/>
    </row>
    <row r="336" spans="1:14" x14ac:dyDescent="0.2">
      <c r="A336" s="10"/>
      <c r="B336" s="10"/>
      <c r="C336" s="9"/>
      <c r="D336" s="9"/>
      <c r="E336" s="11"/>
      <c r="F336" s="15"/>
      <c r="G336" s="15"/>
      <c r="H336" s="15"/>
      <c r="I336" s="15"/>
      <c r="J336" s="15"/>
      <c r="K336" s="15"/>
      <c r="L336" s="15"/>
      <c r="M336" s="18"/>
      <c r="N336" s="18"/>
    </row>
    <row r="337" spans="1:14" x14ac:dyDescent="0.2">
      <c r="A337" s="10"/>
      <c r="B337" s="10"/>
      <c r="C337" s="9"/>
      <c r="D337" s="9"/>
      <c r="E337" s="11"/>
      <c r="F337" s="15"/>
      <c r="G337" s="15"/>
      <c r="H337" s="15"/>
      <c r="I337" s="15"/>
      <c r="J337" s="15"/>
      <c r="K337" s="15"/>
      <c r="L337" s="15"/>
      <c r="M337" s="18"/>
      <c r="N337" s="18"/>
    </row>
    <row r="338" spans="1:14" x14ac:dyDescent="0.2">
      <c r="A338" s="10"/>
      <c r="B338" s="10"/>
      <c r="C338" s="9"/>
      <c r="D338" s="9"/>
      <c r="E338" s="11"/>
      <c r="F338" s="15"/>
      <c r="G338" s="15"/>
      <c r="H338" s="15"/>
      <c r="I338" s="15"/>
      <c r="J338" s="15"/>
      <c r="K338" s="15"/>
      <c r="L338" s="15"/>
      <c r="M338" s="18"/>
      <c r="N338" s="18"/>
    </row>
    <row r="339" spans="1:14" x14ac:dyDescent="0.2">
      <c r="A339" s="10"/>
      <c r="B339" s="10"/>
      <c r="C339" s="9"/>
      <c r="D339" s="9"/>
      <c r="E339" s="11"/>
      <c r="F339" s="15"/>
      <c r="G339" s="15"/>
      <c r="H339" s="15"/>
      <c r="I339" s="15"/>
      <c r="J339" s="15"/>
      <c r="K339" s="15"/>
      <c r="L339" s="15"/>
      <c r="M339" s="18"/>
      <c r="N339" s="18"/>
    </row>
    <row r="340" spans="1:14" x14ac:dyDescent="0.2">
      <c r="A340" s="10"/>
      <c r="B340" s="10"/>
      <c r="C340" s="9"/>
      <c r="D340" s="9"/>
      <c r="E340" s="11"/>
      <c r="F340" s="15"/>
      <c r="G340" s="15"/>
      <c r="H340" s="15"/>
      <c r="I340" s="15"/>
      <c r="J340" s="15"/>
      <c r="K340" s="15"/>
      <c r="L340" s="15"/>
      <c r="M340" s="18"/>
      <c r="N340" s="18"/>
    </row>
    <row r="341" spans="1:14" x14ac:dyDescent="0.2">
      <c r="A341" s="10"/>
      <c r="B341" s="10"/>
      <c r="C341" s="9"/>
      <c r="D341" s="9"/>
      <c r="E341" s="11"/>
      <c r="F341" s="15"/>
      <c r="G341" s="15"/>
      <c r="H341" s="15"/>
      <c r="I341" s="15"/>
      <c r="J341" s="15"/>
      <c r="K341" s="15"/>
      <c r="L341" s="15"/>
      <c r="M341" s="18"/>
      <c r="N341" s="18"/>
    </row>
    <row r="342" spans="1:14" x14ac:dyDescent="0.2">
      <c r="A342" s="10"/>
      <c r="B342" s="10"/>
      <c r="C342" s="9"/>
      <c r="D342" s="9"/>
      <c r="E342" s="11"/>
      <c r="F342" s="15"/>
      <c r="G342" s="15"/>
      <c r="H342" s="15"/>
      <c r="I342" s="15"/>
      <c r="J342" s="15"/>
      <c r="K342" s="15"/>
      <c r="L342" s="15"/>
      <c r="M342" s="18"/>
      <c r="N342" s="18"/>
    </row>
    <row r="343" spans="1:14" x14ac:dyDescent="0.2">
      <c r="A343" s="10"/>
      <c r="B343" s="10"/>
      <c r="C343" s="9"/>
      <c r="D343" s="9"/>
      <c r="E343" s="11"/>
      <c r="F343" s="15"/>
      <c r="G343" s="15"/>
      <c r="H343" s="15"/>
      <c r="I343" s="15"/>
      <c r="J343" s="15"/>
      <c r="K343" s="15"/>
      <c r="L343" s="15"/>
      <c r="M343" s="18"/>
      <c r="N343" s="18"/>
    </row>
    <row r="344" spans="1:14" x14ac:dyDescent="0.2">
      <c r="A344" s="10"/>
      <c r="B344" s="10"/>
      <c r="C344" s="9"/>
      <c r="D344" s="9"/>
      <c r="E344" s="11"/>
      <c r="F344" s="15"/>
      <c r="G344" s="15"/>
      <c r="H344" s="15"/>
      <c r="I344" s="15"/>
      <c r="J344" s="15"/>
      <c r="K344" s="15"/>
      <c r="L344" s="15"/>
      <c r="M344" s="18"/>
      <c r="N344" s="18"/>
    </row>
    <row r="345" spans="1:14" x14ac:dyDescent="0.2">
      <c r="A345" s="10"/>
      <c r="B345" s="10"/>
      <c r="C345" s="9"/>
      <c r="D345" s="9"/>
      <c r="E345" s="11"/>
      <c r="F345" s="15"/>
      <c r="G345" s="15"/>
      <c r="H345" s="15"/>
      <c r="I345" s="15"/>
      <c r="J345" s="15"/>
      <c r="K345" s="15"/>
      <c r="L345" s="15"/>
      <c r="M345" s="18"/>
      <c r="N345" s="18"/>
    </row>
    <row r="346" spans="1:14" x14ac:dyDescent="0.2">
      <c r="A346" s="10"/>
      <c r="B346" s="10"/>
      <c r="C346" s="9"/>
      <c r="D346" s="9"/>
      <c r="E346" s="11"/>
      <c r="F346" s="15"/>
      <c r="G346" s="15"/>
      <c r="H346" s="15"/>
      <c r="I346" s="15"/>
      <c r="J346" s="15"/>
      <c r="K346" s="15"/>
      <c r="L346" s="15"/>
      <c r="M346" s="18"/>
      <c r="N346" s="18"/>
    </row>
    <row r="347" spans="1:14" x14ac:dyDescent="0.2">
      <c r="A347" s="10"/>
      <c r="B347" s="10"/>
      <c r="C347" s="9"/>
      <c r="D347" s="9"/>
      <c r="E347" s="11"/>
      <c r="F347" s="15"/>
      <c r="G347" s="15"/>
      <c r="H347" s="15"/>
      <c r="I347" s="15"/>
      <c r="J347" s="15"/>
      <c r="K347" s="15"/>
      <c r="L347" s="15"/>
      <c r="M347" s="18"/>
      <c r="N347" s="18"/>
    </row>
    <row r="348" spans="1:14" x14ac:dyDescent="0.2">
      <c r="A348" s="10"/>
      <c r="B348" s="10"/>
      <c r="C348" s="9"/>
      <c r="D348" s="9"/>
      <c r="E348" s="11"/>
      <c r="F348" s="15"/>
      <c r="G348" s="15"/>
      <c r="H348" s="15"/>
      <c r="I348" s="15"/>
      <c r="J348" s="15"/>
      <c r="K348" s="15"/>
      <c r="L348" s="15"/>
      <c r="M348" s="18"/>
      <c r="N348" s="18"/>
    </row>
    <row r="349" spans="1:14" x14ac:dyDescent="0.2">
      <c r="A349" s="10"/>
      <c r="B349" s="10"/>
      <c r="C349" s="9"/>
      <c r="D349" s="9"/>
      <c r="E349" s="11"/>
      <c r="F349" s="15"/>
      <c r="G349" s="15"/>
      <c r="H349" s="15"/>
      <c r="I349" s="15"/>
      <c r="J349" s="15"/>
      <c r="K349" s="15"/>
      <c r="L349" s="15"/>
      <c r="M349" s="18"/>
      <c r="N349" s="18"/>
    </row>
    <row r="350" spans="1:14" x14ac:dyDescent="0.2">
      <c r="A350" s="10"/>
      <c r="B350" s="10"/>
      <c r="C350" s="9"/>
      <c r="D350" s="9"/>
      <c r="E350" s="11"/>
      <c r="F350" s="15"/>
      <c r="G350" s="15"/>
      <c r="H350" s="15"/>
      <c r="I350" s="15"/>
      <c r="J350" s="15"/>
      <c r="K350" s="15"/>
      <c r="L350" s="15"/>
      <c r="M350" s="18"/>
      <c r="N350" s="18"/>
    </row>
    <row r="351" spans="1:14" x14ac:dyDescent="0.2">
      <c r="A351" s="10"/>
      <c r="B351" s="10"/>
      <c r="C351" s="9"/>
      <c r="D351" s="9"/>
      <c r="E351" s="11"/>
      <c r="F351" s="15"/>
      <c r="G351" s="15"/>
      <c r="H351" s="15"/>
      <c r="I351" s="15"/>
      <c r="J351" s="15"/>
      <c r="K351" s="15"/>
      <c r="L351" s="15"/>
      <c r="M351" s="18"/>
      <c r="N351" s="18"/>
    </row>
    <row r="352" spans="1:14" x14ac:dyDescent="0.2">
      <c r="A352" s="10"/>
      <c r="B352" s="10"/>
      <c r="C352" s="9"/>
      <c r="D352" s="9"/>
      <c r="E352" s="11"/>
      <c r="F352" s="15"/>
      <c r="G352" s="15"/>
      <c r="H352" s="15"/>
      <c r="I352" s="15"/>
      <c r="J352" s="15"/>
      <c r="K352" s="15"/>
      <c r="L352" s="15"/>
      <c r="M352" s="18"/>
      <c r="N352" s="18"/>
    </row>
    <row r="353" spans="1:14" x14ac:dyDescent="0.2">
      <c r="A353" s="10"/>
      <c r="B353" s="10"/>
      <c r="C353" s="9"/>
      <c r="D353" s="9"/>
      <c r="E353" s="11"/>
      <c r="F353" s="15"/>
      <c r="G353" s="15"/>
      <c r="H353" s="15"/>
      <c r="I353" s="15"/>
      <c r="J353" s="15"/>
      <c r="K353" s="15"/>
      <c r="L353" s="15"/>
      <c r="M353" s="18"/>
      <c r="N353" s="18"/>
    </row>
    <row r="354" spans="1:14" x14ac:dyDescent="0.2">
      <c r="A354" s="10"/>
      <c r="B354" s="10"/>
      <c r="C354" s="9"/>
      <c r="D354" s="9"/>
      <c r="E354" s="11"/>
      <c r="F354" s="15"/>
      <c r="G354" s="15"/>
      <c r="H354" s="15"/>
      <c r="I354" s="15"/>
      <c r="J354" s="15"/>
      <c r="K354" s="15"/>
      <c r="L354" s="15"/>
      <c r="M354" s="18"/>
      <c r="N354" s="18"/>
    </row>
    <row r="355" spans="1:14" x14ac:dyDescent="0.2">
      <c r="A355" s="10"/>
      <c r="B355" s="10"/>
      <c r="C355" s="9"/>
      <c r="D355" s="9"/>
      <c r="E355" s="11"/>
      <c r="F355" s="15"/>
      <c r="G355" s="15"/>
      <c r="H355" s="15"/>
      <c r="I355" s="15"/>
      <c r="J355" s="15"/>
      <c r="K355" s="15"/>
      <c r="L355" s="15"/>
      <c r="M355" s="18"/>
      <c r="N355" s="18"/>
    </row>
    <row r="356" spans="1:14" x14ac:dyDescent="0.2">
      <c r="A356" s="10"/>
      <c r="B356" s="10"/>
      <c r="C356" s="9"/>
      <c r="D356" s="9"/>
      <c r="E356" s="11"/>
      <c r="F356" s="15"/>
      <c r="G356" s="15"/>
      <c r="H356" s="15"/>
      <c r="I356" s="15"/>
      <c r="J356" s="15"/>
      <c r="K356" s="15"/>
      <c r="L356" s="15"/>
      <c r="M356" s="18"/>
      <c r="N356" s="18"/>
    </row>
    <row r="357" spans="1:14" x14ac:dyDescent="0.2">
      <c r="A357" s="10"/>
      <c r="B357" s="10"/>
      <c r="C357" s="9"/>
      <c r="D357" s="9"/>
      <c r="E357" s="11"/>
      <c r="F357" s="18"/>
      <c r="G357" s="18"/>
      <c r="H357" s="18"/>
      <c r="I357" s="18"/>
      <c r="J357" s="18"/>
      <c r="K357" s="18"/>
      <c r="L357" s="18"/>
      <c r="M357" s="18"/>
      <c r="N357" s="18"/>
    </row>
    <row r="358" spans="1:14" x14ac:dyDescent="0.2">
      <c r="A358" s="10"/>
      <c r="B358" s="10"/>
      <c r="C358" s="9"/>
      <c r="D358" s="9"/>
      <c r="E358" s="11"/>
      <c r="F358" s="18"/>
      <c r="G358" s="18"/>
      <c r="H358" s="18"/>
      <c r="I358" s="18"/>
      <c r="J358" s="18"/>
      <c r="K358" s="18"/>
      <c r="L358" s="18"/>
      <c r="M358" s="18"/>
      <c r="N358" s="18"/>
    </row>
    <row r="359" spans="1:14" x14ac:dyDescent="0.2">
      <c r="A359" s="10"/>
      <c r="B359" s="10"/>
      <c r="C359" s="9"/>
      <c r="D359" s="9"/>
      <c r="E359" s="11"/>
      <c r="F359" s="18"/>
      <c r="G359" s="18"/>
      <c r="H359" s="18"/>
      <c r="I359" s="18"/>
      <c r="J359" s="18"/>
      <c r="K359" s="18"/>
      <c r="L359" s="18"/>
      <c r="M359" s="18"/>
      <c r="N359" s="18"/>
    </row>
    <row r="360" spans="1:14" x14ac:dyDescent="0.2">
      <c r="A360" s="10"/>
      <c r="B360" s="10"/>
      <c r="C360" s="9"/>
      <c r="D360" s="9"/>
      <c r="E360" s="11"/>
      <c r="F360" s="18"/>
      <c r="G360" s="18"/>
      <c r="H360" s="18"/>
      <c r="I360" s="18"/>
      <c r="J360" s="18"/>
      <c r="K360" s="18"/>
      <c r="L360" s="18"/>
      <c r="M360" s="18"/>
      <c r="N360" s="18"/>
    </row>
    <row r="361" spans="1:14" x14ac:dyDescent="0.2">
      <c r="A361" s="10"/>
      <c r="B361" s="10"/>
      <c r="C361" s="9"/>
      <c r="D361" s="9"/>
      <c r="E361" s="11"/>
      <c r="F361" s="18"/>
      <c r="G361" s="18"/>
      <c r="H361" s="18"/>
      <c r="I361" s="18"/>
      <c r="J361" s="18"/>
      <c r="K361" s="18"/>
      <c r="L361" s="18"/>
      <c r="M361" s="18"/>
      <c r="N361" s="18"/>
    </row>
    <row r="362" spans="1:14" x14ac:dyDescent="0.2">
      <c r="A362" s="10"/>
      <c r="B362" s="10"/>
      <c r="C362" s="9"/>
      <c r="D362" s="9"/>
      <c r="E362" s="11"/>
      <c r="F362" s="18"/>
      <c r="G362" s="18"/>
      <c r="H362" s="18"/>
      <c r="I362" s="18"/>
      <c r="J362" s="18"/>
      <c r="K362" s="18"/>
      <c r="L362" s="18"/>
      <c r="M362" s="18"/>
      <c r="N362" s="18"/>
    </row>
    <row r="363" spans="1:14" x14ac:dyDescent="0.2">
      <c r="A363" s="10"/>
      <c r="B363" s="10"/>
      <c r="C363" s="9"/>
      <c r="D363" s="9"/>
      <c r="E363" s="11"/>
      <c r="F363" s="18"/>
      <c r="G363" s="18"/>
      <c r="H363" s="18"/>
      <c r="I363" s="18"/>
      <c r="J363" s="18"/>
      <c r="K363" s="18"/>
      <c r="L363" s="18"/>
      <c r="M363" s="18"/>
      <c r="N363" s="18"/>
    </row>
    <row r="364" spans="1:14" x14ac:dyDescent="0.2">
      <c r="A364" s="10"/>
      <c r="B364" s="10"/>
      <c r="C364" s="9"/>
      <c r="D364" s="9"/>
      <c r="E364" s="11"/>
      <c r="F364" s="18"/>
      <c r="G364" s="18"/>
      <c r="H364" s="18"/>
      <c r="I364" s="18"/>
      <c r="J364" s="18"/>
      <c r="K364" s="18"/>
      <c r="L364" s="18"/>
      <c r="M364" s="18"/>
      <c r="N364" s="18"/>
    </row>
    <row r="365" spans="1:14" x14ac:dyDescent="0.2">
      <c r="A365" s="10"/>
      <c r="B365" s="10"/>
      <c r="C365" s="9"/>
      <c r="D365" s="9"/>
      <c r="E365" s="11"/>
      <c r="F365" s="18"/>
      <c r="G365" s="18"/>
      <c r="H365" s="18"/>
      <c r="I365" s="18"/>
      <c r="J365" s="18"/>
      <c r="K365" s="18"/>
      <c r="L365" s="18"/>
      <c r="M365" s="18"/>
      <c r="N365" s="18"/>
    </row>
    <row r="366" spans="1:14" x14ac:dyDescent="0.2">
      <c r="A366" s="10"/>
      <c r="B366" s="10"/>
      <c r="C366" s="9"/>
      <c r="D366" s="9"/>
      <c r="E366" s="11"/>
      <c r="F366" s="18"/>
      <c r="G366" s="18"/>
      <c r="H366" s="18"/>
      <c r="I366" s="18"/>
      <c r="J366" s="18"/>
      <c r="K366" s="18"/>
      <c r="L366" s="18"/>
      <c r="M366" s="18"/>
      <c r="N366" s="18"/>
    </row>
    <row r="367" spans="1:14" x14ac:dyDescent="0.2">
      <c r="A367" s="10"/>
      <c r="B367" s="10"/>
      <c r="C367" s="9"/>
      <c r="D367" s="9"/>
      <c r="E367" s="11"/>
      <c r="F367" s="18"/>
      <c r="G367" s="18"/>
      <c r="H367" s="18"/>
      <c r="I367" s="18"/>
      <c r="J367" s="18"/>
      <c r="K367" s="18"/>
      <c r="L367" s="18"/>
      <c r="M367" s="18"/>
      <c r="N367" s="18"/>
    </row>
    <row r="368" spans="1:14" x14ac:dyDescent="0.2">
      <c r="A368" s="10"/>
      <c r="B368" s="10"/>
      <c r="C368" s="9"/>
      <c r="D368" s="9"/>
      <c r="E368" s="11"/>
      <c r="F368" s="18"/>
      <c r="G368" s="18"/>
      <c r="H368" s="18"/>
      <c r="I368" s="18"/>
      <c r="J368" s="18"/>
      <c r="K368" s="18"/>
      <c r="L368" s="18"/>
      <c r="M368" s="18"/>
      <c r="N368" s="18"/>
    </row>
    <row r="369" spans="1:14" x14ac:dyDescent="0.2">
      <c r="A369" s="10"/>
      <c r="B369" s="10"/>
      <c r="C369" s="9"/>
      <c r="D369" s="9"/>
      <c r="E369" s="11"/>
      <c r="F369" s="18"/>
      <c r="G369" s="18"/>
      <c r="H369" s="18"/>
      <c r="I369" s="18"/>
      <c r="J369" s="18"/>
      <c r="K369" s="18"/>
      <c r="L369" s="18"/>
      <c r="M369" s="18"/>
      <c r="N369" s="18"/>
    </row>
    <row r="370" spans="1:14" x14ac:dyDescent="0.2">
      <c r="A370" s="10"/>
      <c r="B370" s="10"/>
      <c r="C370" s="9"/>
      <c r="D370" s="9"/>
      <c r="E370" s="11"/>
      <c r="F370" s="18"/>
      <c r="G370" s="18"/>
      <c r="H370" s="18"/>
      <c r="I370" s="18"/>
      <c r="J370" s="18"/>
      <c r="K370" s="18"/>
      <c r="L370" s="18"/>
      <c r="M370" s="18"/>
      <c r="N370" s="18"/>
    </row>
    <row r="371" spans="1:14" x14ac:dyDescent="0.2">
      <c r="A371" s="10"/>
      <c r="B371" s="10"/>
      <c r="C371" s="9"/>
      <c r="D371" s="9"/>
      <c r="E371" s="11"/>
      <c r="F371" s="18"/>
      <c r="G371" s="18"/>
      <c r="H371" s="18"/>
      <c r="I371" s="18"/>
      <c r="J371" s="18"/>
      <c r="K371" s="18"/>
      <c r="L371" s="18"/>
      <c r="M371" s="18"/>
      <c r="N371" s="18"/>
    </row>
    <row r="372" spans="1:14" x14ac:dyDescent="0.2">
      <c r="A372" s="10"/>
      <c r="B372" s="10"/>
      <c r="C372" s="9"/>
      <c r="D372" s="9"/>
      <c r="E372" s="11"/>
      <c r="F372" s="18"/>
      <c r="G372" s="18"/>
      <c r="H372" s="18"/>
      <c r="I372" s="18"/>
      <c r="J372" s="18"/>
      <c r="K372" s="18"/>
      <c r="L372" s="18"/>
      <c r="M372" s="18"/>
      <c r="N372" s="18"/>
    </row>
    <row r="373" spans="1:14" x14ac:dyDescent="0.2">
      <c r="A373" s="10"/>
      <c r="B373" s="10"/>
      <c r="C373" s="9"/>
      <c r="D373" s="9"/>
      <c r="E373" s="11"/>
      <c r="F373" s="18"/>
      <c r="G373" s="18"/>
      <c r="H373" s="18"/>
      <c r="I373" s="18"/>
      <c r="J373" s="18"/>
      <c r="K373" s="18"/>
      <c r="L373" s="18"/>
      <c r="M373" s="18"/>
      <c r="N373" s="18"/>
    </row>
    <row r="374" spans="1:14" x14ac:dyDescent="0.2">
      <c r="A374" s="10"/>
      <c r="B374" s="10"/>
      <c r="C374" s="9"/>
      <c r="D374" s="9"/>
      <c r="E374" s="11"/>
      <c r="F374" s="18"/>
      <c r="G374" s="18"/>
      <c r="H374" s="18"/>
      <c r="I374" s="18"/>
      <c r="J374" s="18"/>
      <c r="K374" s="18"/>
      <c r="L374" s="18"/>
      <c r="M374" s="18"/>
      <c r="N374" s="18"/>
    </row>
    <row r="375" spans="1:14" x14ac:dyDescent="0.2">
      <c r="A375" s="10"/>
      <c r="B375" s="10"/>
      <c r="C375" s="9"/>
      <c r="D375" s="9"/>
      <c r="E375" s="11"/>
      <c r="F375" s="18"/>
      <c r="G375" s="18"/>
      <c r="H375" s="18"/>
      <c r="I375" s="18"/>
      <c r="J375" s="18"/>
      <c r="K375" s="18"/>
      <c r="L375" s="18"/>
      <c r="M375" s="18"/>
      <c r="N375" s="18"/>
    </row>
    <row r="376" spans="1:14" x14ac:dyDescent="0.2">
      <c r="A376" s="10"/>
      <c r="B376" s="10"/>
      <c r="C376" s="9"/>
      <c r="D376" s="9"/>
      <c r="E376" s="11"/>
      <c r="F376" s="18"/>
      <c r="G376" s="18"/>
      <c r="H376" s="18"/>
      <c r="I376" s="18"/>
      <c r="J376" s="18"/>
      <c r="K376" s="18"/>
      <c r="L376" s="18"/>
      <c r="M376" s="18"/>
      <c r="N376" s="18"/>
    </row>
    <row r="377" spans="1:14" x14ac:dyDescent="0.2">
      <c r="A377" s="10"/>
      <c r="B377" s="10"/>
      <c r="C377" s="9"/>
      <c r="D377" s="9"/>
      <c r="E377" s="11"/>
      <c r="F377" s="18"/>
      <c r="G377" s="18"/>
      <c r="H377" s="18"/>
      <c r="I377" s="18"/>
      <c r="J377" s="18"/>
      <c r="K377" s="18"/>
      <c r="L377" s="18"/>
      <c r="M377" s="18"/>
      <c r="N377" s="18"/>
    </row>
    <row r="378" spans="1:14" x14ac:dyDescent="0.2">
      <c r="A378" s="10"/>
      <c r="B378" s="10"/>
      <c r="C378" s="9"/>
      <c r="D378" s="9"/>
      <c r="E378" s="11"/>
      <c r="F378" s="18"/>
      <c r="G378" s="18"/>
      <c r="H378" s="18"/>
      <c r="I378" s="18"/>
      <c r="J378" s="18"/>
      <c r="K378" s="18"/>
      <c r="L378" s="18"/>
      <c r="M378" s="18"/>
      <c r="N378" s="18"/>
    </row>
    <row r="379" spans="1:14" x14ac:dyDescent="0.2">
      <c r="A379" s="10"/>
      <c r="B379" s="10"/>
      <c r="C379" s="9"/>
      <c r="D379" s="9"/>
      <c r="E379" s="11"/>
      <c r="F379" s="18"/>
      <c r="G379" s="18"/>
      <c r="H379" s="18"/>
      <c r="I379" s="18"/>
      <c r="J379" s="18"/>
      <c r="K379" s="18"/>
      <c r="L379" s="18"/>
      <c r="M379" s="18"/>
      <c r="N379" s="18"/>
    </row>
    <row r="380" spans="1:14" x14ac:dyDescent="0.2">
      <c r="A380" s="10"/>
      <c r="B380" s="10"/>
      <c r="C380" s="9"/>
      <c r="D380" s="9"/>
      <c r="E380" s="11"/>
      <c r="F380" s="18"/>
      <c r="G380" s="18"/>
      <c r="H380" s="18"/>
      <c r="I380" s="18"/>
      <c r="J380" s="18"/>
      <c r="K380" s="18"/>
      <c r="L380" s="18"/>
      <c r="M380" s="18"/>
      <c r="N380" s="18"/>
    </row>
    <row r="381" spans="1:14" x14ac:dyDescent="0.2">
      <c r="A381" s="10"/>
      <c r="B381" s="10"/>
      <c r="C381" s="9"/>
      <c r="D381" s="9"/>
      <c r="E381" s="11"/>
      <c r="F381" s="18"/>
      <c r="G381" s="18"/>
      <c r="H381" s="18"/>
      <c r="I381" s="18"/>
      <c r="J381" s="18"/>
      <c r="K381" s="18"/>
      <c r="L381" s="18"/>
      <c r="M381" s="18"/>
      <c r="N381" s="18"/>
    </row>
    <row r="382" spans="1:14" x14ac:dyDescent="0.2">
      <c r="A382" s="10"/>
      <c r="B382" s="10"/>
      <c r="C382" s="9"/>
      <c r="D382" s="9"/>
      <c r="E382" s="11"/>
      <c r="F382" s="18"/>
      <c r="G382" s="18"/>
      <c r="H382" s="18"/>
      <c r="I382" s="18"/>
      <c r="J382" s="18"/>
      <c r="K382" s="18"/>
      <c r="L382" s="18"/>
      <c r="M382" s="18"/>
      <c r="N382" s="18"/>
    </row>
    <row r="383" spans="1:14" x14ac:dyDescent="0.2">
      <c r="A383" s="10"/>
      <c r="B383" s="10"/>
      <c r="C383" s="9"/>
      <c r="D383" s="9"/>
      <c r="E383" s="11"/>
      <c r="F383" s="18"/>
      <c r="G383" s="18"/>
      <c r="H383" s="18"/>
      <c r="I383" s="18"/>
      <c r="J383" s="18"/>
      <c r="K383" s="18"/>
      <c r="L383" s="18"/>
      <c r="M383" s="18"/>
      <c r="N383" s="18"/>
    </row>
    <row r="384" spans="1:14" x14ac:dyDescent="0.2">
      <c r="A384" s="10"/>
      <c r="B384" s="10"/>
      <c r="C384" s="9"/>
      <c r="D384" s="9"/>
      <c r="E384" s="11"/>
      <c r="F384" s="18"/>
      <c r="G384" s="18"/>
      <c r="H384" s="18"/>
      <c r="I384" s="18"/>
      <c r="J384" s="18"/>
      <c r="K384" s="18"/>
      <c r="L384" s="18"/>
      <c r="M384" s="18"/>
      <c r="N384" s="18"/>
    </row>
    <row r="385" spans="1:14" x14ac:dyDescent="0.2">
      <c r="A385" s="10"/>
      <c r="B385" s="10"/>
      <c r="C385" s="9"/>
      <c r="D385" s="9"/>
      <c r="E385" s="11"/>
      <c r="F385" s="18"/>
      <c r="G385" s="18"/>
      <c r="H385" s="18"/>
      <c r="I385" s="18"/>
      <c r="J385" s="18"/>
      <c r="K385" s="18"/>
      <c r="L385" s="18"/>
      <c r="M385" s="18"/>
      <c r="N385" s="18"/>
    </row>
    <row r="386" spans="1:14" x14ac:dyDescent="0.2">
      <c r="A386" s="10"/>
      <c r="B386" s="10"/>
      <c r="C386" s="9"/>
      <c r="D386" s="9"/>
      <c r="E386" s="11"/>
      <c r="F386" s="18"/>
      <c r="G386" s="18"/>
      <c r="H386" s="18"/>
      <c r="I386" s="18"/>
      <c r="J386" s="18"/>
      <c r="K386" s="18"/>
      <c r="L386" s="18"/>
      <c r="M386" s="18"/>
      <c r="N386" s="18"/>
    </row>
    <row r="387" spans="1:14" x14ac:dyDescent="0.2">
      <c r="A387" s="10"/>
      <c r="B387" s="10"/>
      <c r="C387" s="9"/>
      <c r="D387" s="9"/>
      <c r="E387" s="11"/>
      <c r="F387" s="18"/>
      <c r="G387" s="18"/>
      <c r="H387" s="18"/>
      <c r="I387" s="18"/>
      <c r="J387" s="18"/>
      <c r="K387" s="18"/>
      <c r="L387" s="18"/>
      <c r="M387" s="18"/>
      <c r="N387" s="18"/>
    </row>
    <row r="388" spans="1:14" x14ac:dyDescent="0.2">
      <c r="A388" s="10"/>
      <c r="B388" s="10"/>
      <c r="C388" s="9"/>
      <c r="D388" s="9"/>
      <c r="E388" s="11"/>
      <c r="F388" s="18"/>
      <c r="G388" s="18"/>
      <c r="H388" s="18"/>
      <c r="I388" s="18"/>
      <c r="J388" s="18"/>
      <c r="K388" s="18"/>
      <c r="L388" s="18"/>
      <c r="M388" s="18"/>
      <c r="N388" s="18"/>
    </row>
    <row r="389" spans="1:14" x14ac:dyDescent="0.2">
      <c r="A389" s="10"/>
      <c r="B389" s="10"/>
      <c r="C389" s="9"/>
      <c r="D389" s="9"/>
      <c r="E389" s="11"/>
      <c r="F389" s="18"/>
      <c r="G389" s="18"/>
      <c r="H389" s="18"/>
      <c r="I389" s="18"/>
      <c r="J389" s="18"/>
      <c r="K389" s="18"/>
      <c r="L389" s="18"/>
      <c r="M389" s="18"/>
      <c r="N389" s="18"/>
    </row>
    <row r="390" spans="1:14" x14ac:dyDescent="0.2">
      <c r="A390" s="10"/>
      <c r="B390" s="10"/>
      <c r="C390" s="9"/>
      <c r="D390" s="9"/>
      <c r="E390" s="11"/>
      <c r="F390" s="18"/>
      <c r="G390" s="18"/>
      <c r="H390" s="18"/>
      <c r="I390" s="18"/>
      <c r="J390" s="18"/>
      <c r="K390" s="18"/>
      <c r="L390" s="18"/>
      <c r="M390" s="18"/>
      <c r="N390" s="18"/>
    </row>
    <row r="391" spans="1:14" x14ac:dyDescent="0.2">
      <c r="A391" s="10"/>
      <c r="B391" s="10"/>
      <c r="C391" s="9"/>
      <c r="D391" s="9"/>
      <c r="E391" s="11"/>
      <c r="F391" s="18"/>
      <c r="G391" s="18"/>
      <c r="H391" s="18"/>
      <c r="I391" s="18"/>
      <c r="J391" s="18"/>
      <c r="K391" s="18"/>
      <c r="L391" s="18"/>
      <c r="M391" s="18"/>
      <c r="N391" s="18"/>
    </row>
    <row r="392" spans="1:14" x14ac:dyDescent="0.2">
      <c r="A392" s="10"/>
      <c r="B392" s="10"/>
      <c r="C392" s="9"/>
      <c r="D392" s="9"/>
      <c r="E392" s="11"/>
      <c r="F392" s="18"/>
      <c r="G392" s="18"/>
      <c r="H392" s="18"/>
      <c r="I392" s="18"/>
      <c r="J392" s="18"/>
      <c r="K392" s="18"/>
      <c r="L392" s="18"/>
      <c r="M392" s="18"/>
      <c r="N392" s="18"/>
    </row>
    <row r="393" spans="1:14" x14ac:dyDescent="0.2">
      <c r="A393" s="10"/>
      <c r="B393" s="10"/>
      <c r="C393" s="9"/>
      <c r="D393" s="9"/>
      <c r="E393" s="11"/>
      <c r="F393" s="19"/>
      <c r="G393" s="19"/>
      <c r="H393" s="19"/>
      <c r="I393" s="19"/>
      <c r="J393" s="19"/>
      <c r="K393" s="19"/>
      <c r="L393" s="19"/>
      <c r="M393" s="19"/>
      <c r="N393" s="19"/>
    </row>
  </sheetData>
  <sheetProtection algorithmName="SHA-512" hashValue="HFbAq4LG21sXdQ+KB2MXNX1Tk+A6NPKFo66OdBw8dRfypOpIL1vKeV5rcNfHjI0zYTEazt0s23raqrtzXZu42w==" saltValue="mD0yWNIlZezPJ9BfvSwU3w==" spinCount="100000" sheet="1" objects="1" scenarios="1"/>
  <mergeCells count="19">
    <mergeCell ref="A44:D44"/>
    <mergeCell ref="A51:D51"/>
    <mergeCell ref="A59:D59"/>
    <mergeCell ref="A64:D64"/>
    <mergeCell ref="A2:D2"/>
    <mergeCell ref="A12:D12"/>
    <mergeCell ref="A22:D22"/>
    <mergeCell ref="A28:D28"/>
    <mergeCell ref="A37:D37"/>
    <mergeCell ref="A68:D68"/>
    <mergeCell ref="A78:D78"/>
    <mergeCell ref="A84:D84"/>
    <mergeCell ref="A89:D89"/>
    <mergeCell ref="A97:D97"/>
    <mergeCell ref="A102:D102"/>
    <mergeCell ref="A116:D116"/>
    <mergeCell ref="A127:D127"/>
    <mergeCell ref="A131:D131"/>
    <mergeCell ref="A143:D143"/>
  </mergeCells>
  <phoneticPr fontId="1" type="noConversion"/>
  <dataValidations count="2">
    <dataValidation type="list" allowBlank="1" showInputMessage="1" showErrorMessage="1" sqref="C60:C63 C15:C21 C55:C58 C24 C109:C112 C144:C150 C129 C134:C135 C7:C11 C53 C27 C30:C33 C35:C36 C74:C75 C77 C69:C72 C114:C115 C123:C126 C100:C101 C86:C88 C38:C43 C45:C50 C66:C67 C80:C83 C91:C96 C117:C120 C103:C107 C132 C137 C140:C142" xr:uid="{00000000-0002-0000-0100-000000000000}">
      <formula1>Fullskala</formula1>
    </dataValidation>
    <dataValidation type="list" allowBlank="1" showInputMessage="1" showErrorMessage="1" sqref="C113 C65 C85 C90 C138:C139 C73 C3:C6 C25:C26 C23 C133 C121:C122 C13:C14 C52 C54 C79 C76 D98 C34 C29 C108 C128 C130 C136 C98:C99" xr:uid="{00000000-0002-0000-0100-000001000000}">
      <formula1>yesno</formula1>
    </dataValidation>
  </dataValidations>
  <pageMargins left="0.36" right="0.27" top="0.52" bottom="0.45" header="0.5" footer="0.5"/>
  <pageSetup paperSize="9" scale="78"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00"/>
  <sheetViews>
    <sheetView showGridLines="0" zoomScale="102" zoomScaleNormal="102" workbookViewId="0">
      <selection activeCell="C1" sqref="C1:D1"/>
    </sheetView>
  </sheetViews>
  <sheetFormatPr baseColWidth="10" defaultColWidth="11.42578125" defaultRowHeight="12.75" x14ac:dyDescent="0.2"/>
  <cols>
    <col min="1" max="1" width="14.7109375" style="45" customWidth="1"/>
    <col min="2" max="2" width="22.7109375" style="45" customWidth="1"/>
    <col min="3" max="3" width="90.7109375" style="45" customWidth="1"/>
    <col min="4" max="4" width="11.7109375" style="45" customWidth="1"/>
    <col min="5" max="16384" width="11.42578125" style="45"/>
  </cols>
  <sheetData>
    <row r="1" spans="1:4" ht="24.95" customHeight="1" thickBot="1" x14ac:dyDescent="0.25">
      <c r="A1" s="74" t="s">
        <v>284</v>
      </c>
      <c r="B1" s="75"/>
      <c r="C1" s="78"/>
      <c r="D1" s="79"/>
    </row>
    <row r="2" spans="1:4" ht="24.95" customHeight="1" thickBot="1" x14ac:dyDescent="0.25">
      <c r="A2" s="76" t="s">
        <v>285</v>
      </c>
      <c r="B2" s="77"/>
      <c r="C2" s="80"/>
      <c r="D2" s="81"/>
    </row>
    <row r="3" spans="1:4" ht="24.95" customHeight="1" thickBot="1" x14ac:dyDescent="0.25">
      <c r="A3" s="76" t="s">
        <v>286</v>
      </c>
      <c r="B3" s="77" t="s">
        <v>287</v>
      </c>
      <c r="C3" s="84"/>
      <c r="D3" s="85"/>
    </row>
    <row r="4" spans="1:4" ht="39.950000000000003" customHeight="1" thickBot="1" x14ac:dyDescent="0.25">
      <c r="A4" s="82" t="s">
        <v>288</v>
      </c>
      <c r="B4" s="83"/>
      <c r="C4" s="83"/>
      <c r="D4" s="46" t="s">
        <v>7</v>
      </c>
    </row>
    <row r="5" spans="1:4" ht="27" customHeight="1" thickBot="1" x14ac:dyDescent="0.25">
      <c r="A5" s="67" t="str">
        <f>Title_ISBR1</f>
        <v>1.- Política de seguridad de la información.</v>
      </c>
      <c r="B5" s="68"/>
      <c r="C5" s="68"/>
      <c r="D5" s="47" t="e">
        <f>Score_ISBR1</f>
        <v>#DIV/0!</v>
      </c>
    </row>
    <row r="6" spans="1:4" ht="27" customHeight="1" thickBot="1" x14ac:dyDescent="0.25">
      <c r="A6" s="48" t="s">
        <v>289</v>
      </c>
      <c r="B6" s="71" t="s">
        <v>290</v>
      </c>
      <c r="C6" s="71"/>
      <c r="D6" s="72"/>
    </row>
    <row r="7" spans="1:4" ht="39.950000000000003" customHeight="1" thickBot="1" x14ac:dyDescent="0.25">
      <c r="A7" s="49" t="s">
        <v>291</v>
      </c>
      <c r="B7" s="63" t="s">
        <v>292</v>
      </c>
      <c r="C7" s="63"/>
      <c r="D7" s="64"/>
    </row>
    <row r="8" spans="1:4" ht="39.950000000000003" customHeight="1" thickBot="1" x14ac:dyDescent="0.25">
      <c r="A8" s="50" t="s">
        <v>293</v>
      </c>
      <c r="B8" s="63" t="s">
        <v>294</v>
      </c>
      <c r="C8" s="63"/>
      <c r="D8" s="64"/>
    </row>
    <row r="9" spans="1:4" ht="39.950000000000003" customHeight="1" thickBot="1" x14ac:dyDescent="0.25">
      <c r="A9" s="51" t="s">
        <v>295</v>
      </c>
      <c r="B9" s="69" t="s">
        <v>296</v>
      </c>
      <c r="C9" s="69"/>
      <c r="D9" s="70"/>
    </row>
    <row r="10" spans="1:4" ht="27" customHeight="1" thickBot="1" x14ac:dyDescent="0.25">
      <c r="A10" s="67" t="str">
        <f>Title_ISBR2</f>
        <v xml:space="preserve"> 2. - Proceso de gestión de riesgos de seguridad de la información para los sistemas y redes.				</v>
      </c>
      <c r="B10" s="68"/>
      <c r="C10" s="68"/>
      <c r="D10" s="47" t="e">
        <f>Score_ISBR2</f>
        <v>#DIV/0!</v>
      </c>
    </row>
    <row r="11" spans="1:4" ht="24.95" customHeight="1" thickBot="1" x14ac:dyDescent="0.25">
      <c r="A11" s="48" t="s">
        <v>289</v>
      </c>
      <c r="B11" s="71" t="s">
        <v>297</v>
      </c>
      <c r="C11" s="71"/>
      <c r="D11" s="72"/>
    </row>
    <row r="12" spans="1:4" ht="54" customHeight="1" thickBot="1" x14ac:dyDescent="0.25">
      <c r="A12" s="49" t="s">
        <v>291</v>
      </c>
      <c r="B12" s="63" t="s">
        <v>298</v>
      </c>
      <c r="C12" s="63"/>
      <c r="D12" s="64"/>
    </row>
    <row r="13" spans="1:4" ht="54" customHeight="1" thickBot="1" x14ac:dyDescent="0.25">
      <c r="A13" s="50" t="s">
        <v>293</v>
      </c>
      <c r="B13" s="63" t="s">
        <v>299</v>
      </c>
      <c r="C13" s="63"/>
      <c r="D13" s="64"/>
    </row>
    <row r="14" spans="1:4" ht="39.950000000000003" customHeight="1" thickBot="1" x14ac:dyDescent="0.25">
      <c r="A14" s="51" t="s">
        <v>295</v>
      </c>
      <c r="B14" s="69" t="s">
        <v>300</v>
      </c>
      <c r="C14" s="69"/>
      <c r="D14" s="70"/>
    </row>
    <row r="15" spans="1:4" ht="39.950000000000003" customHeight="1" thickBot="1" x14ac:dyDescent="0.25">
      <c r="A15" s="67" t="str">
        <f>Title_ISBR3</f>
        <v xml:space="preserve"> 3. - Los sistemas informáticos y de resguardo de información no digital deben tener propietarios designados y de los datos correspondientes.</v>
      </c>
      <c r="B15" s="68"/>
      <c r="C15" s="68"/>
      <c r="D15" s="47" t="e">
        <f>Score_ISBR3</f>
        <v>#DIV/0!</v>
      </c>
    </row>
    <row r="16" spans="1:4" ht="39.950000000000003" customHeight="1" thickBot="1" x14ac:dyDescent="0.25">
      <c r="A16" s="48" t="s">
        <v>289</v>
      </c>
      <c r="B16" s="71" t="s">
        <v>301</v>
      </c>
      <c r="C16" s="71"/>
      <c r="D16" s="72"/>
    </row>
    <row r="17" spans="1:4" ht="39.950000000000003" customHeight="1" thickBot="1" x14ac:dyDescent="0.25">
      <c r="A17" s="49" t="s">
        <v>291</v>
      </c>
      <c r="B17" s="63" t="s">
        <v>302</v>
      </c>
      <c r="C17" s="63"/>
      <c r="D17" s="64"/>
    </row>
    <row r="18" spans="1:4" ht="39.950000000000003" customHeight="1" thickBot="1" x14ac:dyDescent="0.25">
      <c r="A18" s="50" t="s">
        <v>293</v>
      </c>
      <c r="B18" s="63" t="s">
        <v>303</v>
      </c>
      <c r="C18" s="63"/>
      <c r="D18" s="64"/>
    </row>
    <row r="19" spans="1:4" ht="60" customHeight="1" thickBot="1" x14ac:dyDescent="0.25">
      <c r="A19" s="51" t="s">
        <v>295</v>
      </c>
      <c r="B19" s="69" t="s">
        <v>304</v>
      </c>
      <c r="C19" s="69"/>
      <c r="D19" s="70"/>
    </row>
    <row r="20" spans="1:4" ht="39.950000000000003" customHeight="1" thickBot="1" x14ac:dyDescent="0.25">
      <c r="A20" s="67" t="str">
        <f>Title_ISBR4</f>
        <v xml:space="preserve"> 4. - La infraestructura informática debe tener redes segmentadas y todas las rutas de comunicación deben ser controladas y auditadas.</v>
      </c>
      <c r="B20" s="68"/>
      <c r="C20" s="68"/>
      <c r="D20" s="47" t="e">
        <f>Score_ISBR4</f>
        <v>#DIV/0!</v>
      </c>
    </row>
    <row r="21" spans="1:4" ht="24.95" customHeight="1" thickBot="1" x14ac:dyDescent="0.25">
      <c r="A21" s="48" t="s">
        <v>289</v>
      </c>
      <c r="B21" s="86" t="s">
        <v>305</v>
      </c>
      <c r="C21" s="86"/>
      <c r="D21" s="87"/>
    </row>
    <row r="22" spans="1:4" ht="39.950000000000003" customHeight="1" thickBot="1" x14ac:dyDescent="0.25">
      <c r="A22" s="49" t="s">
        <v>291</v>
      </c>
      <c r="B22" s="88" t="s">
        <v>306</v>
      </c>
      <c r="C22" s="88"/>
      <c r="D22" s="89"/>
    </row>
    <row r="23" spans="1:4" ht="60" customHeight="1" thickBot="1" x14ac:dyDescent="0.25">
      <c r="A23" s="50" t="s">
        <v>293</v>
      </c>
      <c r="B23" s="90" t="s">
        <v>307</v>
      </c>
      <c r="C23" s="90"/>
      <c r="D23" s="91"/>
    </row>
    <row r="24" spans="1:4" ht="39.950000000000003" customHeight="1" thickBot="1" x14ac:dyDescent="0.25">
      <c r="A24" s="51" t="s">
        <v>295</v>
      </c>
      <c r="B24" s="69" t="s">
        <v>308</v>
      </c>
      <c r="C24" s="69"/>
      <c r="D24" s="70"/>
    </row>
    <row r="25" spans="1:4" ht="39.950000000000003" customHeight="1" thickBot="1" x14ac:dyDescent="0.25">
      <c r="A25" s="67" t="str">
        <f>Title_ISBR5</f>
        <v xml:space="preserve"> 5. - Los usuarios de los sistemas deben recibir capacitación en la conciencia de la seguridad de la información y el uso seguro de los sistemas de TI de acuerdo con las políticas y procesos establecidos.</v>
      </c>
      <c r="B25" s="68"/>
      <c r="C25" s="68"/>
      <c r="D25" s="47" t="e">
        <f>Score_ISBR5</f>
        <v>#DIV/0!</v>
      </c>
    </row>
    <row r="26" spans="1:4" ht="39.950000000000003" customHeight="1" thickBot="1" x14ac:dyDescent="0.25">
      <c r="A26" s="48" t="s">
        <v>289</v>
      </c>
      <c r="B26" s="71" t="s">
        <v>309</v>
      </c>
      <c r="C26" s="71"/>
      <c r="D26" s="72"/>
    </row>
    <row r="27" spans="1:4" ht="80.099999999999994" customHeight="1" thickBot="1" x14ac:dyDescent="0.25">
      <c r="A27" s="49" t="s">
        <v>291</v>
      </c>
      <c r="B27" s="63" t="s">
        <v>310</v>
      </c>
      <c r="C27" s="63"/>
      <c r="D27" s="64"/>
    </row>
    <row r="28" spans="1:4" ht="39.950000000000003" customHeight="1" thickBot="1" x14ac:dyDescent="0.25">
      <c r="A28" s="50" t="s">
        <v>293</v>
      </c>
      <c r="B28" s="63" t="s">
        <v>311</v>
      </c>
      <c r="C28" s="63"/>
      <c r="D28" s="64"/>
    </row>
    <row r="29" spans="1:4" ht="60" customHeight="1" thickBot="1" x14ac:dyDescent="0.25">
      <c r="A29" s="51" t="s">
        <v>295</v>
      </c>
      <c r="B29" s="69" t="s">
        <v>312</v>
      </c>
      <c r="C29" s="69"/>
      <c r="D29" s="70"/>
    </row>
    <row r="30" spans="1:4" ht="24.95" customHeight="1" thickBot="1" x14ac:dyDescent="0.25">
      <c r="A30" s="67" t="str">
        <f>Title_ISBR6</f>
        <v xml:space="preserve"> 6. - Los sistemas informáticos sólo se utilizarán para los fines designados.</v>
      </c>
      <c r="B30" s="68"/>
      <c r="C30" s="68"/>
      <c r="D30" s="47" t="e">
        <f>Score_ISBR6</f>
        <v>#DIV/0!</v>
      </c>
    </row>
    <row r="31" spans="1:4" ht="39.950000000000003" customHeight="1" thickBot="1" x14ac:dyDescent="0.25">
      <c r="A31" s="48" t="s">
        <v>289</v>
      </c>
      <c r="B31" s="71" t="s">
        <v>313</v>
      </c>
      <c r="C31" s="71"/>
      <c r="D31" s="72"/>
    </row>
    <row r="32" spans="1:4" ht="54" customHeight="1" thickBot="1" x14ac:dyDescent="0.25">
      <c r="A32" s="49" t="s">
        <v>291</v>
      </c>
      <c r="B32" s="63" t="s">
        <v>314</v>
      </c>
      <c r="C32" s="63"/>
      <c r="D32" s="64"/>
    </row>
    <row r="33" spans="1:4" ht="39.950000000000003" customHeight="1" thickBot="1" x14ac:dyDescent="0.25">
      <c r="A33" s="50" t="s">
        <v>293</v>
      </c>
      <c r="B33" s="63" t="s">
        <v>315</v>
      </c>
      <c r="C33" s="63"/>
      <c r="D33" s="64"/>
    </row>
    <row r="34" spans="1:4" ht="54" customHeight="1" thickBot="1" x14ac:dyDescent="0.25">
      <c r="A34" s="51" t="s">
        <v>295</v>
      </c>
      <c r="B34" s="69" t="s">
        <v>316</v>
      </c>
      <c r="C34" s="69"/>
      <c r="D34" s="70"/>
    </row>
    <row r="35" spans="1:4" ht="24.95" customHeight="1" thickBot="1" x14ac:dyDescent="0.25">
      <c r="A35" s="67" t="str">
        <f>Title_ISBR7</f>
        <v xml:space="preserve"> 7. - Preparación para la recuperación ante desastres.</v>
      </c>
      <c r="B35" s="68"/>
      <c r="C35" s="68"/>
      <c r="D35" s="47" t="e">
        <f>Score_ISBR7</f>
        <v>#DIV/0!</v>
      </c>
    </row>
    <row r="36" spans="1:4" ht="39.950000000000003" customHeight="1" thickBot="1" x14ac:dyDescent="0.25">
      <c r="A36" s="48" t="s">
        <v>289</v>
      </c>
      <c r="B36" s="71" t="s">
        <v>317</v>
      </c>
      <c r="C36" s="71"/>
      <c r="D36" s="72"/>
    </row>
    <row r="37" spans="1:4" ht="60" customHeight="1" thickBot="1" x14ac:dyDescent="0.25">
      <c r="A37" s="49" t="s">
        <v>291</v>
      </c>
      <c r="B37" s="63" t="s">
        <v>318</v>
      </c>
      <c r="C37" s="63"/>
      <c r="D37" s="64"/>
    </row>
    <row r="38" spans="1:4" ht="60" customHeight="1" thickBot="1" x14ac:dyDescent="0.25">
      <c r="A38" s="50" t="s">
        <v>293</v>
      </c>
      <c r="B38" s="63" t="s">
        <v>319</v>
      </c>
      <c r="C38" s="63"/>
      <c r="D38" s="64"/>
    </row>
    <row r="39" spans="1:4" ht="39.950000000000003" customHeight="1" thickBot="1" x14ac:dyDescent="0.25">
      <c r="A39" s="51" t="s">
        <v>295</v>
      </c>
      <c r="B39" s="69" t="s">
        <v>320</v>
      </c>
      <c r="C39" s="69"/>
      <c r="D39" s="70"/>
    </row>
    <row r="40" spans="1:4" ht="33.75" customHeight="1" thickBot="1" x14ac:dyDescent="0.25">
      <c r="A40" s="67" t="str">
        <f>Title_ISBR8</f>
        <v>8.- Los requisitos de seguridad de la información se integrarán en los procesos de ingeniería, adquisición y despliegue.</v>
      </c>
      <c r="B40" s="68"/>
      <c r="C40" s="68"/>
      <c r="D40" s="47" t="e">
        <f>Score_ISBR8</f>
        <v>#DIV/0!</v>
      </c>
    </row>
    <row r="41" spans="1:4" ht="27" customHeight="1" thickBot="1" x14ac:dyDescent="0.25">
      <c r="A41" s="48" t="s">
        <v>289</v>
      </c>
      <c r="B41" s="71" t="s">
        <v>321</v>
      </c>
      <c r="C41" s="71"/>
      <c r="D41" s="72"/>
    </row>
    <row r="42" spans="1:4" ht="27" customHeight="1" thickBot="1" x14ac:dyDescent="0.25">
      <c r="A42" s="49" t="s">
        <v>291</v>
      </c>
      <c r="B42" s="63" t="s">
        <v>322</v>
      </c>
      <c r="C42" s="63"/>
      <c r="D42" s="64"/>
    </row>
    <row r="43" spans="1:4" ht="27" customHeight="1" thickBot="1" x14ac:dyDescent="0.25">
      <c r="A43" s="50" t="s">
        <v>293</v>
      </c>
      <c r="B43" s="63" t="s">
        <v>323</v>
      </c>
      <c r="C43" s="63"/>
      <c r="D43" s="64"/>
    </row>
    <row r="44" spans="1:4" ht="39.950000000000003" customHeight="1" thickBot="1" x14ac:dyDescent="0.25">
      <c r="A44" s="51" t="s">
        <v>295</v>
      </c>
      <c r="B44" s="69" t="s">
        <v>324</v>
      </c>
      <c r="C44" s="69"/>
      <c r="D44" s="70"/>
    </row>
    <row r="45" spans="1:4" ht="24.95" customHeight="1" thickBot="1" x14ac:dyDescent="0.25">
      <c r="A45" s="67" t="str">
        <f>Title_ISBR9</f>
        <v xml:space="preserve"> 9. - Los sistemas críticos deben tener niveles de servicio y soporte definidos y documentados.</v>
      </c>
      <c r="B45" s="68"/>
      <c r="C45" s="68"/>
      <c r="D45" s="47" t="e">
        <f>Score_ISBR9</f>
        <v>#DIV/0!</v>
      </c>
    </row>
    <row r="46" spans="1:4" ht="24.95" customHeight="1" thickBot="1" x14ac:dyDescent="0.25">
      <c r="A46" s="48" t="s">
        <v>289</v>
      </c>
      <c r="B46" s="71" t="s">
        <v>325</v>
      </c>
      <c r="C46" s="71"/>
      <c r="D46" s="72"/>
    </row>
    <row r="47" spans="1:4" ht="24.95" customHeight="1" thickBot="1" x14ac:dyDescent="0.25">
      <c r="A47" s="49" t="s">
        <v>291</v>
      </c>
      <c r="B47" s="63" t="s">
        <v>326</v>
      </c>
      <c r="C47" s="63"/>
      <c r="D47" s="64"/>
    </row>
    <row r="48" spans="1:4" ht="24.95" customHeight="1" thickBot="1" x14ac:dyDescent="0.25">
      <c r="A48" s="50" t="s">
        <v>293</v>
      </c>
      <c r="B48" s="63" t="s">
        <v>327</v>
      </c>
      <c r="C48" s="63"/>
      <c r="D48" s="64"/>
    </row>
    <row r="49" spans="1:4" ht="24.95" customHeight="1" thickBot="1" x14ac:dyDescent="0.25">
      <c r="A49" s="51" t="s">
        <v>295</v>
      </c>
      <c r="B49" s="69" t="s">
        <v>328</v>
      </c>
      <c r="C49" s="69"/>
      <c r="D49" s="70"/>
    </row>
    <row r="50" spans="1:4" ht="39.950000000000003" customHeight="1" thickBot="1" x14ac:dyDescent="0.25">
      <c r="A50" s="67" t="str">
        <f>Title_ISBR10</f>
        <v xml:space="preserve"> 10. - Se deberán cumplir los procedimientos de gestión de cambios y permisos de trabajo para todo mantenimiento y cambios en los sistemas y redes.</v>
      </c>
      <c r="B50" s="68"/>
      <c r="C50" s="68"/>
      <c r="D50" s="47" t="e">
        <f>Score_ISBR10</f>
        <v>#DIV/0!</v>
      </c>
    </row>
    <row r="51" spans="1:4" ht="24.95" customHeight="1" thickBot="1" x14ac:dyDescent="0.25">
      <c r="A51" s="48" t="s">
        <v>289</v>
      </c>
      <c r="B51" s="71" t="s">
        <v>329</v>
      </c>
      <c r="C51" s="71"/>
      <c r="D51" s="72"/>
    </row>
    <row r="52" spans="1:4" ht="60" customHeight="1" thickBot="1" x14ac:dyDescent="0.25">
      <c r="A52" s="49" t="s">
        <v>291</v>
      </c>
      <c r="B52" s="63" t="s">
        <v>330</v>
      </c>
      <c r="C52" s="63"/>
      <c r="D52" s="64"/>
    </row>
    <row r="53" spans="1:4" ht="39.950000000000003" customHeight="1" thickBot="1" x14ac:dyDescent="0.25">
      <c r="A53" s="50" t="s">
        <v>293</v>
      </c>
      <c r="B53" s="63" t="s">
        <v>331</v>
      </c>
      <c r="C53" s="63"/>
      <c r="D53" s="64"/>
    </row>
    <row r="54" spans="1:4" ht="39.950000000000003" customHeight="1" thickBot="1" x14ac:dyDescent="0.25">
      <c r="A54" s="51" t="s">
        <v>295</v>
      </c>
      <c r="B54" s="69" t="s">
        <v>332</v>
      </c>
      <c r="C54" s="69"/>
      <c r="D54" s="70"/>
    </row>
    <row r="55" spans="1:4" ht="39.950000000000003" customHeight="1" thickBot="1" x14ac:dyDescent="0.25">
      <c r="A55" s="67" t="str">
        <f>Title_ISBR11</f>
        <v xml:space="preserve"> 11. - Deberá estar disponible un diagrama de la topología de red actualizado, que incluya todos los componentes del sistema e interfaces con otros sistemas.</v>
      </c>
      <c r="B55" s="68"/>
      <c r="C55" s="68"/>
      <c r="D55" s="47" t="e">
        <f>Score_ISBR11</f>
        <v>#DIV/0!</v>
      </c>
    </row>
    <row r="56" spans="1:4" ht="39.950000000000003" customHeight="1" thickBot="1" x14ac:dyDescent="0.25">
      <c r="A56" s="48" t="s">
        <v>289</v>
      </c>
      <c r="B56" s="71" t="s">
        <v>333</v>
      </c>
      <c r="C56" s="71"/>
      <c r="D56" s="72"/>
    </row>
    <row r="57" spans="1:4" ht="39.950000000000003" customHeight="1" thickBot="1" x14ac:dyDescent="0.25">
      <c r="A57" s="49" t="s">
        <v>291</v>
      </c>
      <c r="B57" s="63" t="s">
        <v>334</v>
      </c>
      <c r="C57" s="63"/>
      <c r="D57" s="64"/>
    </row>
    <row r="58" spans="1:4" ht="60" customHeight="1" thickBot="1" x14ac:dyDescent="0.25">
      <c r="A58" s="50" t="s">
        <v>293</v>
      </c>
      <c r="B58" s="63" t="s">
        <v>335</v>
      </c>
      <c r="C58" s="63"/>
      <c r="D58" s="64"/>
    </row>
    <row r="59" spans="1:4" ht="60" customHeight="1" thickBot="1" x14ac:dyDescent="0.25">
      <c r="A59" s="51" t="s">
        <v>295</v>
      </c>
      <c r="B59" s="69" t="s">
        <v>336</v>
      </c>
      <c r="C59" s="69"/>
      <c r="D59" s="70"/>
    </row>
    <row r="60" spans="1:4" ht="24.95" customHeight="1" thickBot="1" x14ac:dyDescent="0.25">
      <c r="A60" s="67" t="str">
        <f>Title_ISBR12</f>
        <v xml:space="preserve"> 12. - Los sistemas informáticos se deben actualizar con parches de seguridad.</v>
      </c>
      <c r="B60" s="68"/>
      <c r="C60" s="68"/>
      <c r="D60" s="47" t="e">
        <f>Score_ISBR12</f>
        <v>#DIV/0!</v>
      </c>
    </row>
    <row r="61" spans="1:4" ht="39.950000000000003" customHeight="1" thickBot="1" x14ac:dyDescent="0.25">
      <c r="A61" s="48" t="s">
        <v>289</v>
      </c>
      <c r="B61" s="71" t="s">
        <v>337</v>
      </c>
      <c r="C61" s="71"/>
      <c r="D61" s="72"/>
    </row>
    <row r="62" spans="1:4" ht="60" customHeight="1" thickBot="1" x14ac:dyDescent="0.25">
      <c r="A62" s="49" t="s">
        <v>291</v>
      </c>
      <c r="B62" s="63" t="s">
        <v>338</v>
      </c>
      <c r="C62" s="63"/>
      <c r="D62" s="64"/>
    </row>
    <row r="63" spans="1:4" ht="60" customHeight="1" thickBot="1" x14ac:dyDescent="0.25">
      <c r="A63" s="50" t="s">
        <v>293</v>
      </c>
      <c r="B63" s="63" t="s">
        <v>339</v>
      </c>
      <c r="C63" s="63"/>
      <c r="D63" s="64"/>
    </row>
    <row r="64" spans="1:4" ht="39.950000000000003" customHeight="1" thickBot="1" x14ac:dyDescent="0.25">
      <c r="A64" s="51" t="s">
        <v>295</v>
      </c>
      <c r="B64" s="69" t="s">
        <v>340</v>
      </c>
      <c r="C64" s="69"/>
      <c r="D64" s="70"/>
    </row>
    <row r="65" spans="1:4" ht="39.950000000000003" customHeight="1" thickBot="1" x14ac:dyDescent="0.25">
      <c r="A65" s="67" t="str">
        <f>Title_ISBR13</f>
        <v xml:space="preserve"> 13. - Los sistemas de TI deben tener medidas adecuadas y actualizadas para proteger, detectar y recuperarse de software malicioso.</v>
      </c>
      <c r="B65" s="68"/>
      <c r="C65" s="68"/>
      <c r="D65" s="47" t="e">
        <f>Score_ISBR13</f>
        <v>#DIV/0!</v>
      </c>
    </row>
    <row r="66" spans="1:4" ht="39.950000000000003" customHeight="1" thickBot="1" x14ac:dyDescent="0.25">
      <c r="A66" s="48" t="s">
        <v>289</v>
      </c>
      <c r="B66" s="71" t="s">
        <v>337</v>
      </c>
      <c r="C66" s="71"/>
      <c r="D66" s="72"/>
    </row>
    <row r="67" spans="1:4" ht="60" customHeight="1" thickBot="1" x14ac:dyDescent="0.25">
      <c r="A67" s="49" t="s">
        <v>291</v>
      </c>
      <c r="B67" s="63" t="s">
        <v>341</v>
      </c>
      <c r="C67" s="63"/>
      <c r="D67" s="64"/>
    </row>
    <row r="68" spans="1:4" ht="60" customHeight="1" thickBot="1" x14ac:dyDescent="0.25">
      <c r="A68" s="50" t="s">
        <v>293</v>
      </c>
      <c r="B68" s="63" t="s">
        <v>342</v>
      </c>
      <c r="C68" s="63"/>
      <c r="D68" s="64"/>
    </row>
    <row r="69" spans="1:4" ht="60" customHeight="1" thickBot="1" x14ac:dyDescent="0.25">
      <c r="A69" s="51" t="s">
        <v>295</v>
      </c>
      <c r="B69" s="69" t="s">
        <v>343</v>
      </c>
      <c r="C69" s="69"/>
      <c r="D69" s="70"/>
    </row>
    <row r="70" spans="1:4" ht="39.950000000000003" customHeight="1" thickBot="1" x14ac:dyDescent="0.25">
      <c r="A70" s="67" t="str">
        <f>Title_ISBR14</f>
        <v xml:space="preserve"> 14. - Debe existir una gestión estricta del control de acceso para garantizar que solo los usuarios y sistemas autorizados puedan acceder a la información y la funcionalidad de los sistemas de TI.</v>
      </c>
      <c r="B70" s="68"/>
      <c r="C70" s="68"/>
      <c r="D70" s="47" t="e">
        <f>Score_ISBR14</f>
        <v>#DIV/0!</v>
      </c>
    </row>
    <row r="71" spans="1:4" ht="24.95" customHeight="1" thickBot="1" x14ac:dyDescent="0.25">
      <c r="A71" s="48" t="s">
        <v>289</v>
      </c>
      <c r="B71" s="71" t="s">
        <v>344</v>
      </c>
      <c r="C71" s="71"/>
      <c r="D71" s="72"/>
    </row>
    <row r="72" spans="1:4" ht="39.950000000000003" customHeight="1" thickBot="1" x14ac:dyDescent="0.25">
      <c r="A72" s="49" t="s">
        <v>291</v>
      </c>
      <c r="B72" s="63" t="s">
        <v>345</v>
      </c>
      <c r="C72" s="63"/>
      <c r="D72" s="64"/>
    </row>
    <row r="73" spans="1:4" ht="80.099999999999994" customHeight="1" thickBot="1" x14ac:dyDescent="0.25">
      <c r="A73" s="50" t="s">
        <v>293</v>
      </c>
      <c r="B73" s="63" t="s">
        <v>346</v>
      </c>
      <c r="C73" s="63"/>
      <c r="D73" s="64"/>
    </row>
    <row r="74" spans="1:4" ht="80.099999999999994" customHeight="1" thickBot="1" x14ac:dyDescent="0.25">
      <c r="A74" s="51" t="s">
        <v>295</v>
      </c>
      <c r="B74" s="69" t="s">
        <v>347</v>
      </c>
      <c r="C74" s="69"/>
      <c r="D74" s="70"/>
    </row>
    <row r="75" spans="1:4" ht="38.25" customHeight="1" thickBot="1" x14ac:dyDescent="0.25">
      <c r="A75" s="67" t="str">
        <f>Title_ISBR15</f>
        <v xml:space="preserve"> 15. - Los procedimientos operativos y de mantenimiento necesarios deben documentarse y mantenerse actualizados.</v>
      </c>
      <c r="B75" s="68"/>
      <c r="C75" s="68"/>
      <c r="D75" s="47" t="e">
        <f>Score_ISBR15</f>
        <v>#DIV/0!</v>
      </c>
    </row>
    <row r="76" spans="1:4" ht="24.95" customHeight="1" thickBot="1" x14ac:dyDescent="0.25">
      <c r="A76" s="48" t="s">
        <v>289</v>
      </c>
      <c r="B76" s="71" t="s">
        <v>348</v>
      </c>
      <c r="C76" s="71"/>
      <c r="D76" s="72"/>
    </row>
    <row r="77" spans="1:4" ht="24.95" customHeight="1" thickBot="1" x14ac:dyDescent="0.25">
      <c r="A77" s="49" t="s">
        <v>291</v>
      </c>
      <c r="B77" s="63" t="s">
        <v>349</v>
      </c>
      <c r="C77" s="63"/>
      <c r="D77" s="64"/>
    </row>
    <row r="78" spans="1:4" ht="39.950000000000003" customHeight="1" thickBot="1" x14ac:dyDescent="0.25">
      <c r="A78" s="50" t="s">
        <v>293</v>
      </c>
      <c r="B78" s="63" t="s">
        <v>350</v>
      </c>
      <c r="C78" s="63"/>
      <c r="D78" s="64"/>
    </row>
    <row r="79" spans="1:4" ht="39.950000000000003" customHeight="1" thickBot="1" x14ac:dyDescent="0.25">
      <c r="A79" s="51" t="s">
        <v>295</v>
      </c>
      <c r="B79" s="69" t="s">
        <v>351</v>
      </c>
      <c r="C79" s="69"/>
      <c r="D79" s="70"/>
    </row>
    <row r="80" spans="1:4" ht="39.950000000000003" customHeight="1" thickBot="1" x14ac:dyDescent="0.25">
      <c r="A80" s="67" t="str">
        <f>Title_ISBR16</f>
        <v xml:space="preserve"> 16. - Los procedimientos para informar eventos e incidentes de seguridad de la información deben documentarse e implementarse en la organización.</v>
      </c>
      <c r="B80" s="68"/>
      <c r="C80" s="68"/>
      <c r="D80" s="47" t="e">
        <f>Score_ISBR16</f>
        <v>#DIV/0!</v>
      </c>
    </row>
    <row r="81" spans="1:4" ht="24.95" customHeight="1" thickBot="1" x14ac:dyDescent="0.25">
      <c r="A81" s="48" t="s">
        <v>289</v>
      </c>
      <c r="B81" s="71" t="s">
        <v>352</v>
      </c>
      <c r="C81" s="71"/>
      <c r="D81" s="72"/>
    </row>
    <row r="82" spans="1:4" ht="39.950000000000003" customHeight="1" thickBot="1" x14ac:dyDescent="0.25">
      <c r="A82" s="49" t="s">
        <v>291</v>
      </c>
      <c r="B82" s="63" t="s">
        <v>353</v>
      </c>
      <c r="C82" s="63"/>
      <c r="D82" s="64"/>
    </row>
    <row r="83" spans="1:4" ht="60" customHeight="1" thickBot="1" x14ac:dyDescent="0.25">
      <c r="A83" s="50" t="s">
        <v>293</v>
      </c>
      <c r="B83" s="63" t="s">
        <v>354</v>
      </c>
      <c r="C83" s="63"/>
      <c r="D83" s="64"/>
    </row>
    <row r="84" spans="1:4" ht="60" customHeight="1" thickBot="1" x14ac:dyDescent="0.25">
      <c r="A84" s="51" t="s">
        <v>295</v>
      </c>
      <c r="B84" s="69" t="s">
        <v>355</v>
      </c>
      <c r="C84" s="69"/>
      <c r="D84" s="70"/>
    </row>
    <row r="85" spans="1:4" ht="39.950000000000003" customHeight="1" thickBot="1" x14ac:dyDescent="0.25">
      <c r="A85" s="67" t="str">
        <f>Title_ISBR17</f>
        <v xml:space="preserve"> 17. - Todos los equipos y programas informáticos deberán estar claramente identificados y registrados en un inventario actualizado permanentemente.</v>
      </c>
      <c r="B85" s="68"/>
      <c r="C85" s="68"/>
      <c r="D85" s="47" t="e">
        <f>Score_ISBR17</f>
        <v>#DIV/0!</v>
      </c>
    </row>
    <row r="86" spans="1:4" ht="39.950000000000003" customHeight="1" thickBot="1" x14ac:dyDescent="0.25">
      <c r="A86" s="48" t="s">
        <v>289</v>
      </c>
      <c r="B86" s="71" t="s">
        <v>356</v>
      </c>
      <c r="C86" s="71"/>
      <c r="D86" s="72"/>
    </row>
    <row r="87" spans="1:4" ht="60" customHeight="1" thickBot="1" x14ac:dyDescent="0.25">
      <c r="A87" s="49" t="s">
        <v>291</v>
      </c>
      <c r="B87" s="63" t="s">
        <v>357</v>
      </c>
      <c r="C87" s="63"/>
      <c r="D87" s="64"/>
    </row>
    <row r="88" spans="1:4" ht="60" customHeight="1" thickBot="1" x14ac:dyDescent="0.25">
      <c r="A88" s="50" t="s">
        <v>293</v>
      </c>
      <c r="B88" s="63" t="s">
        <v>358</v>
      </c>
      <c r="C88" s="63"/>
      <c r="D88" s="64"/>
    </row>
    <row r="89" spans="1:4" ht="60" customHeight="1" thickBot="1" x14ac:dyDescent="0.25">
      <c r="A89" s="51" t="s">
        <v>295</v>
      </c>
      <c r="B89" s="69" t="s">
        <v>359</v>
      </c>
      <c r="C89" s="69"/>
      <c r="D89" s="70"/>
    </row>
    <row r="90" spans="1:4" ht="39.950000000000003" customHeight="1" thickBot="1" x14ac:dyDescent="0.25">
      <c r="A90" s="67" t="str">
        <f>Title_ISBR18</f>
        <v xml:space="preserve"> 18. - El acceso remoto a los sistemas se limitará a los usuarios, procesos o dispositivos autorizados, y a las actividades autorizadas.</v>
      </c>
      <c r="B90" s="68"/>
      <c r="C90" s="68"/>
      <c r="D90" s="47" t="e">
        <f>Score_ISBR18</f>
        <v>#DIV/0!</v>
      </c>
    </row>
    <row r="91" spans="1:4" ht="39.950000000000003" customHeight="1" thickBot="1" x14ac:dyDescent="0.25">
      <c r="A91" s="48" t="s">
        <v>289</v>
      </c>
      <c r="B91" s="71" t="s">
        <v>360</v>
      </c>
      <c r="C91" s="71"/>
      <c r="D91" s="72"/>
    </row>
    <row r="92" spans="1:4" ht="39.950000000000003" customHeight="1" thickBot="1" x14ac:dyDescent="0.25">
      <c r="A92" s="49" t="s">
        <v>291</v>
      </c>
      <c r="B92" s="63" t="s">
        <v>361</v>
      </c>
      <c r="C92" s="63"/>
      <c r="D92" s="64"/>
    </row>
    <row r="93" spans="1:4" ht="60" customHeight="1" thickBot="1" x14ac:dyDescent="0.25">
      <c r="A93" s="50" t="s">
        <v>293</v>
      </c>
      <c r="B93" s="63" t="s">
        <v>362</v>
      </c>
      <c r="C93" s="63"/>
      <c r="D93" s="64"/>
    </row>
    <row r="94" spans="1:4" ht="39.950000000000003" customHeight="1" thickBot="1" x14ac:dyDescent="0.25">
      <c r="A94" s="51" t="s">
        <v>295</v>
      </c>
      <c r="B94" s="69" t="s">
        <v>363</v>
      </c>
      <c r="C94" s="69"/>
      <c r="D94" s="70"/>
    </row>
    <row r="95" spans="1:4" ht="24.95" customHeight="1" thickBot="1" x14ac:dyDescent="0.25">
      <c r="A95" s="67" t="str">
        <f>Title_ISBR19</f>
        <v xml:space="preserve"> 19. - Se debe documentar y cumplir un proceso para gestionar el acceso a los sistemas informáticos.</v>
      </c>
      <c r="B95" s="68"/>
      <c r="C95" s="68"/>
      <c r="D95" s="47" t="e">
        <f>Score_ISBR19</f>
        <v>#DIV/0!</v>
      </c>
    </row>
    <row r="96" spans="1:4" ht="39.950000000000003" customHeight="1" thickBot="1" x14ac:dyDescent="0.25">
      <c r="A96" s="48" t="s">
        <v>289</v>
      </c>
      <c r="B96" s="71" t="s">
        <v>364</v>
      </c>
      <c r="C96" s="71"/>
      <c r="D96" s="72"/>
    </row>
    <row r="97" spans="1:4" ht="39.950000000000003" customHeight="1" thickBot="1" x14ac:dyDescent="0.25">
      <c r="A97" s="49" t="s">
        <v>291</v>
      </c>
      <c r="B97" s="63" t="s">
        <v>365</v>
      </c>
      <c r="C97" s="63"/>
      <c r="D97" s="64"/>
    </row>
    <row r="98" spans="1:4" ht="60" customHeight="1" thickBot="1" x14ac:dyDescent="0.25">
      <c r="A98" s="50" t="s">
        <v>293</v>
      </c>
      <c r="B98" s="63" t="s">
        <v>366</v>
      </c>
      <c r="C98" s="63"/>
      <c r="D98" s="64"/>
    </row>
    <row r="99" spans="1:4" ht="80.099999999999994" customHeight="1" thickBot="1" x14ac:dyDescent="0.25">
      <c r="A99" s="52" t="s">
        <v>295</v>
      </c>
      <c r="B99" s="65" t="s">
        <v>367</v>
      </c>
      <c r="C99" s="65"/>
      <c r="D99" s="66"/>
    </row>
    <row r="100" spans="1:4" ht="45.75" customHeight="1" x14ac:dyDescent="0.2">
      <c r="A100" s="73" t="s">
        <v>368</v>
      </c>
      <c r="B100" s="73"/>
      <c r="C100" s="73"/>
      <c r="D100" s="73"/>
    </row>
  </sheetData>
  <sheetProtection algorithmName="SHA-512" hashValue="Qh1TjdFCtqNgmCWyx6cG8LHv5+1V0VVfvyomSiSDrLEQalDumfqmZe9Toe24Or9k9X1htjhfGmOA3iyaNuEqJQ==" saltValue="WDbeCMSNe25hebEJ5ySSjA==" spinCount="100000" sheet="1" objects="1" scenarios="1"/>
  <mergeCells count="103">
    <mergeCell ref="A100:D100"/>
    <mergeCell ref="A1:B1"/>
    <mergeCell ref="A2:B2"/>
    <mergeCell ref="C1:D1"/>
    <mergeCell ref="C2:D2"/>
    <mergeCell ref="A3:B3"/>
    <mergeCell ref="A4:C4"/>
    <mergeCell ref="A10:C10"/>
    <mergeCell ref="A15:C15"/>
    <mergeCell ref="A25:C25"/>
    <mergeCell ref="A20:C20"/>
    <mergeCell ref="B16:D16"/>
    <mergeCell ref="B17:D17"/>
    <mergeCell ref="A5:C5"/>
    <mergeCell ref="C3:D3"/>
    <mergeCell ref="B21:D21"/>
    <mergeCell ref="B22:D22"/>
    <mergeCell ref="B23:D23"/>
    <mergeCell ref="B24:D24"/>
    <mergeCell ref="B19:D19"/>
    <mergeCell ref="B18:D18"/>
    <mergeCell ref="B6:D6"/>
    <mergeCell ref="B7:D7"/>
    <mergeCell ref="B8:D8"/>
    <mergeCell ref="B9:D9"/>
    <mergeCell ref="B11:D11"/>
    <mergeCell ref="B12:D12"/>
    <mergeCell ref="B13:D13"/>
    <mergeCell ref="B14:D14"/>
    <mergeCell ref="B32:D32"/>
    <mergeCell ref="B33:D33"/>
    <mergeCell ref="B34:D34"/>
    <mergeCell ref="A35:C35"/>
    <mergeCell ref="B36:D36"/>
    <mergeCell ref="B31:D31"/>
    <mergeCell ref="B26:D26"/>
    <mergeCell ref="B27:D27"/>
    <mergeCell ref="B28:D28"/>
    <mergeCell ref="B29:D29"/>
    <mergeCell ref="A30:C30"/>
    <mergeCell ref="B42:D42"/>
    <mergeCell ref="B43:D43"/>
    <mergeCell ref="B44:D44"/>
    <mergeCell ref="B46:D46"/>
    <mergeCell ref="B47:D47"/>
    <mergeCell ref="B37:D37"/>
    <mergeCell ref="B38:D38"/>
    <mergeCell ref="B39:D39"/>
    <mergeCell ref="A40:C40"/>
    <mergeCell ref="B41:D41"/>
    <mergeCell ref="B52:D52"/>
    <mergeCell ref="B53:D53"/>
    <mergeCell ref="B54:D54"/>
    <mergeCell ref="B56:D56"/>
    <mergeCell ref="B57:D57"/>
    <mergeCell ref="B48:D48"/>
    <mergeCell ref="B49:D49"/>
    <mergeCell ref="A45:C45"/>
    <mergeCell ref="A50:C50"/>
    <mergeCell ref="B51:D51"/>
    <mergeCell ref="B62:D62"/>
    <mergeCell ref="B63:D63"/>
    <mergeCell ref="B64:D64"/>
    <mergeCell ref="A65:C65"/>
    <mergeCell ref="B66:D66"/>
    <mergeCell ref="B58:D58"/>
    <mergeCell ref="B59:D59"/>
    <mergeCell ref="A55:C55"/>
    <mergeCell ref="A60:C60"/>
    <mergeCell ref="B61:D61"/>
    <mergeCell ref="A75:C75"/>
    <mergeCell ref="B81:D81"/>
    <mergeCell ref="B82:D82"/>
    <mergeCell ref="B72:D72"/>
    <mergeCell ref="B73:D73"/>
    <mergeCell ref="B74:D74"/>
    <mergeCell ref="B76:D76"/>
    <mergeCell ref="B77:D77"/>
    <mergeCell ref="B67:D67"/>
    <mergeCell ref="B68:D68"/>
    <mergeCell ref="B69:D69"/>
    <mergeCell ref="A70:C70"/>
    <mergeCell ref="B71:D71"/>
    <mergeCell ref="A85:C85"/>
    <mergeCell ref="A90:C90"/>
    <mergeCell ref="B91:D91"/>
    <mergeCell ref="B83:D83"/>
    <mergeCell ref="B84:D84"/>
    <mergeCell ref="A80:C80"/>
    <mergeCell ref="B86:D86"/>
    <mergeCell ref="B87:D87"/>
    <mergeCell ref="B78:D78"/>
    <mergeCell ref="B79:D79"/>
    <mergeCell ref="B98:D98"/>
    <mergeCell ref="B99:D99"/>
    <mergeCell ref="A95:C95"/>
    <mergeCell ref="B92:D92"/>
    <mergeCell ref="B93:D93"/>
    <mergeCell ref="B94:D94"/>
    <mergeCell ref="B96:D96"/>
    <mergeCell ref="B97:D97"/>
    <mergeCell ref="B88:D88"/>
    <mergeCell ref="B89:D89"/>
  </mergeCells>
  <phoneticPr fontId="1" type="noConversion"/>
  <conditionalFormatting sqref="D5">
    <cfRule type="cellIs" dxfId="56" priority="79" stopIfTrue="1" operator="lessThanOrEqual">
      <formula>1.499</formula>
    </cfRule>
    <cfRule type="cellIs" dxfId="55" priority="80" stopIfTrue="1" operator="between">
      <formula>1.5</formula>
      <formula>2.99</formula>
    </cfRule>
    <cfRule type="cellIs" dxfId="54" priority="81" stopIfTrue="1" operator="greaterThanOrEqual">
      <formula>3</formula>
    </cfRule>
  </conditionalFormatting>
  <conditionalFormatting sqref="D10">
    <cfRule type="cellIs" dxfId="53" priority="52" stopIfTrue="1" operator="lessThanOrEqual">
      <formula>1.499</formula>
    </cfRule>
    <cfRule type="cellIs" dxfId="52" priority="53" stopIfTrue="1" operator="between">
      <formula>1.5</formula>
      <formula>2.99</formula>
    </cfRule>
    <cfRule type="cellIs" dxfId="51" priority="54" stopIfTrue="1" operator="greaterThanOrEqual">
      <formula>3</formula>
    </cfRule>
  </conditionalFormatting>
  <conditionalFormatting sqref="D15">
    <cfRule type="cellIs" dxfId="50" priority="49" stopIfTrue="1" operator="lessThanOrEqual">
      <formula>1.499</formula>
    </cfRule>
    <cfRule type="cellIs" dxfId="49" priority="50" stopIfTrue="1" operator="between">
      <formula>1.5</formula>
      <formula>2.99</formula>
    </cfRule>
    <cfRule type="cellIs" dxfId="48" priority="51" stopIfTrue="1" operator="greaterThanOrEqual">
      <formula>3</formula>
    </cfRule>
  </conditionalFormatting>
  <conditionalFormatting sqref="D20">
    <cfRule type="cellIs" dxfId="47" priority="46" stopIfTrue="1" operator="lessThanOrEqual">
      <formula>1.499</formula>
    </cfRule>
    <cfRule type="cellIs" dxfId="46" priority="47" stopIfTrue="1" operator="between">
      <formula>1.5</formula>
      <formula>2.99</formula>
    </cfRule>
    <cfRule type="cellIs" dxfId="45" priority="48" stopIfTrue="1" operator="greaterThanOrEqual">
      <formula>3</formula>
    </cfRule>
  </conditionalFormatting>
  <conditionalFormatting sqref="D25">
    <cfRule type="cellIs" dxfId="44" priority="43" stopIfTrue="1" operator="lessThanOrEqual">
      <formula>1.499</formula>
    </cfRule>
    <cfRule type="cellIs" dxfId="43" priority="44" stopIfTrue="1" operator="between">
      <formula>1.5</formula>
      <formula>2.99</formula>
    </cfRule>
    <cfRule type="cellIs" dxfId="42" priority="45" stopIfTrue="1" operator="greaterThanOrEqual">
      <formula>3</formula>
    </cfRule>
  </conditionalFormatting>
  <conditionalFormatting sqref="D30">
    <cfRule type="cellIs" dxfId="41" priority="40" stopIfTrue="1" operator="lessThanOrEqual">
      <formula>1.499</formula>
    </cfRule>
    <cfRule type="cellIs" dxfId="40" priority="41" stopIfTrue="1" operator="between">
      <formula>1.5</formula>
      <formula>2.99</formula>
    </cfRule>
    <cfRule type="cellIs" dxfId="39" priority="42" stopIfTrue="1" operator="greaterThanOrEqual">
      <formula>3</formula>
    </cfRule>
  </conditionalFormatting>
  <conditionalFormatting sqref="D35">
    <cfRule type="cellIs" dxfId="38" priority="37" stopIfTrue="1" operator="lessThanOrEqual">
      <formula>1.499</formula>
    </cfRule>
    <cfRule type="cellIs" dxfId="37" priority="38" stopIfTrue="1" operator="between">
      <formula>1.5</formula>
      <formula>2.99</formula>
    </cfRule>
    <cfRule type="cellIs" dxfId="36" priority="39" stopIfTrue="1" operator="greaterThanOrEqual">
      <formula>3</formula>
    </cfRule>
  </conditionalFormatting>
  <conditionalFormatting sqref="D40">
    <cfRule type="cellIs" dxfId="35" priority="34" stopIfTrue="1" operator="lessThanOrEqual">
      <formula>1.499</formula>
    </cfRule>
    <cfRule type="cellIs" dxfId="34" priority="35" stopIfTrue="1" operator="between">
      <formula>1.5</formula>
      <formula>2.99</formula>
    </cfRule>
    <cfRule type="cellIs" dxfId="33" priority="36" stopIfTrue="1" operator="greaterThanOrEqual">
      <formula>3</formula>
    </cfRule>
  </conditionalFormatting>
  <conditionalFormatting sqref="D45">
    <cfRule type="cellIs" dxfId="32" priority="31" stopIfTrue="1" operator="lessThanOrEqual">
      <formula>1.499</formula>
    </cfRule>
    <cfRule type="cellIs" dxfId="31" priority="32" stopIfTrue="1" operator="between">
      <formula>1.5</formula>
      <formula>2.99</formula>
    </cfRule>
    <cfRule type="cellIs" dxfId="30" priority="33" stopIfTrue="1" operator="greaterThanOrEqual">
      <formula>3</formula>
    </cfRule>
  </conditionalFormatting>
  <conditionalFormatting sqref="D50">
    <cfRule type="cellIs" dxfId="29" priority="28" stopIfTrue="1" operator="lessThanOrEqual">
      <formula>1.499</formula>
    </cfRule>
    <cfRule type="cellIs" dxfId="28" priority="29" stopIfTrue="1" operator="between">
      <formula>1.5</formula>
      <formula>2.99</formula>
    </cfRule>
    <cfRule type="cellIs" dxfId="27" priority="30" stopIfTrue="1" operator="greaterThanOrEqual">
      <formula>3</formula>
    </cfRule>
  </conditionalFormatting>
  <conditionalFormatting sqref="D55">
    <cfRule type="cellIs" dxfId="26" priority="25" stopIfTrue="1" operator="lessThanOrEqual">
      <formula>1.499</formula>
    </cfRule>
    <cfRule type="cellIs" dxfId="25" priority="26" stopIfTrue="1" operator="between">
      <formula>1.5</formula>
      <formula>2.99</formula>
    </cfRule>
    <cfRule type="cellIs" dxfId="24" priority="27" stopIfTrue="1" operator="greaterThanOrEqual">
      <formula>3</formula>
    </cfRule>
  </conditionalFormatting>
  <conditionalFormatting sqref="D60">
    <cfRule type="cellIs" dxfId="23" priority="22" stopIfTrue="1" operator="lessThanOrEqual">
      <formula>1.499</formula>
    </cfRule>
    <cfRule type="cellIs" dxfId="22" priority="23" stopIfTrue="1" operator="between">
      <formula>1.5</formula>
      <formula>2.99</formula>
    </cfRule>
    <cfRule type="cellIs" dxfId="21" priority="24" stopIfTrue="1" operator="greaterThanOrEqual">
      <formula>3</formula>
    </cfRule>
  </conditionalFormatting>
  <conditionalFormatting sqref="D65">
    <cfRule type="cellIs" dxfId="20" priority="19" stopIfTrue="1" operator="lessThanOrEqual">
      <formula>1.499</formula>
    </cfRule>
    <cfRule type="cellIs" dxfId="19" priority="20" stopIfTrue="1" operator="between">
      <formula>1.5</formula>
      <formula>2.99</formula>
    </cfRule>
    <cfRule type="cellIs" dxfId="18" priority="21" stopIfTrue="1" operator="greaterThanOrEqual">
      <formula>3</formula>
    </cfRule>
  </conditionalFormatting>
  <conditionalFormatting sqref="D70">
    <cfRule type="cellIs" dxfId="17" priority="16" stopIfTrue="1" operator="lessThanOrEqual">
      <formula>1.499</formula>
    </cfRule>
    <cfRule type="cellIs" dxfId="16" priority="17" stopIfTrue="1" operator="between">
      <formula>1.5</formula>
      <formula>2.99</formula>
    </cfRule>
    <cfRule type="cellIs" dxfId="15" priority="18" stopIfTrue="1" operator="greaterThanOrEqual">
      <formula>3</formula>
    </cfRule>
  </conditionalFormatting>
  <conditionalFormatting sqref="D75">
    <cfRule type="cellIs" dxfId="14" priority="13" stopIfTrue="1" operator="lessThanOrEqual">
      <formula>1.499</formula>
    </cfRule>
    <cfRule type="cellIs" dxfId="13" priority="14" stopIfTrue="1" operator="between">
      <formula>1.5</formula>
      <formula>2.99</formula>
    </cfRule>
    <cfRule type="cellIs" dxfId="12" priority="15" stopIfTrue="1" operator="greaterThanOrEqual">
      <formula>3</formula>
    </cfRule>
  </conditionalFormatting>
  <conditionalFormatting sqref="D80">
    <cfRule type="cellIs" dxfId="11" priority="10" stopIfTrue="1" operator="lessThanOrEqual">
      <formula>1.499</formula>
    </cfRule>
    <cfRule type="cellIs" dxfId="10" priority="11" stopIfTrue="1" operator="between">
      <formula>1.5</formula>
      <formula>2.99</formula>
    </cfRule>
    <cfRule type="cellIs" dxfId="9" priority="12" stopIfTrue="1" operator="greaterThanOrEqual">
      <formula>3</formula>
    </cfRule>
  </conditionalFormatting>
  <conditionalFormatting sqref="D85">
    <cfRule type="cellIs" dxfId="8" priority="7" stopIfTrue="1" operator="lessThanOrEqual">
      <formula>1.499</formula>
    </cfRule>
    <cfRule type="cellIs" dxfId="7" priority="8" stopIfTrue="1" operator="between">
      <formula>1.5</formula>
      <formula>2.99</formula>
    </cfRule>
    <cfRule type="cellIs" dxfId="6" priority="9" stopIfTrue="1" operator="greaterThanOrEqual">
      <formula>3</formula>
    </cfRule>
  </conditionalFormatting>
  <conditionalFormatting sqref="D90">
    <cfRule type="cellIs" dxfId="5" priority="4" stopIfTrue="1" operator="lessThanOrEqual">
      <formula>1.499</formula>
    </cfRule>
    <cfRule type="cellIs" dxfId="4" priority="5" stopIfTrue="1" operator="between">
      <formula>1.5</formula>
      <formula>2.99</formula>
    </cfRule>
    <cfRule type="cellIs" dxfId="3" priority="6" stopIfTrue="1" operator="greaterThanOrEqual">
      <formula>3</formula>
    </cfRule>
  </conditionalFormatting>
  <conditionalFormatting sqref="D95">
    <cfRule type="cellIs" dxfId="2" priority="1" stopIfTrue="1" operator="lessThanOrEqual">
      <formula>1.499</formula>
    </cfRule>
    <cfRule type="cellIs" dxfId="1" priority="2" stopIfTrue="1" operator="between">
      <formula>1.5</formula>
      <formula>2.99</formula>
    </cfRule>
    <cfRule type="cellIs" dxfId="0" priority="3" stopIfTrue="1" operator="greaterThanOrEqual">
      <formula>3</formula>
    </cfRule>
  </conditionalFormatting>
  <hyperlinks>
    <hyperlink ref="A100" r:id="rId1" xr:uid="{C931E97E-1FF6-4107-B5B8-80098BFE6C45}"/>
  </hyperlinks>
  <pageMargins left="0.75" right="0.75" top="1" bottom="1" header="0.5" footer="0.5"/>
  <pageSetup paperSize="9" scale="23" fitToHeight="0" orientation="portrait"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11"/>
  <sheetViews>
    <sheetView workbookViewId="0">
      <selection activeCell="B5" sqref="B5"/>
    </sheetView>
  </sheetViews>
  <sheetFormatPr baseColWidth="10" defaultColWidth="11.42578125" defaultRowHeight="12.75" x14ac:dyDescent="0.2"/>
  <cols>
    <col min="1" max="1" width="5.140625" customWidth="1"/>
    <col min="2" max="2" width="49.42578125" customWidth="1"/>
    <col min="3" max="3" width="7.85546875" style="5" customWidth="1"/>
    <col min="4" max="4" width="2.5703125" style="5" customWidth="1"/>
    <col min="5" max="5" width="12.5703125" style="7" customWidth="1"/>
    <col min="6" max="6" width="4.42578125" customWidth="1"/>
    <col min="7" max="7" width="13.140625" customWidth="1"/>
    <col min="8" max="8" width="15.5703125" customWidth="1"/>
  </cols>
  <sheetData>
    <row r="1" spans="2:7" ht="13.5" thickBot="1" x14ac:dyDescent="0.25"/>
    <row r="2" spans="2:7" ht="18" x14ac:dyDescent="0.25">
      <c r="B2" s="20" t="s">
        <v>369</v>
      </c>
      <c r="C2" s="21">
        <v>0</v>
      </c>
      <c r="D2" s="21"/>
      <c r="E2" s="22" t="s">
        <v>370</v>
      </c>
      <c r="G2" s="5"/>
    </row>
    <row r="3" spans="2:7" ht="18" x14ac:dyDescent="0.25">
      <c r="B3" s="23" t="s">
        <v>371</v>
      </c>
      <c r="C3" s="24">
        <v>1</v>
      </c>
      <c r="D3" s="24"/>
      <c r="E3" s="25" t="s">
        <v>372</v>
      </c>
      <c r="G3" s="5"/>
    </row>
    <row r="4" spans="2:7" ht="18" x14ac:dyDescent="0.25">
      <c r="B4" s="23" t="s">
        <v>373</v>
      </c>
      <c r="C4" s="24">
        <v>2</v>
      </c>
      <c r="D4" s="24"/>
      <c r="E4" s="25" t="s">
        <v>374</v>
      </c>
    </row>
    <row r="5" spans="2:7" ht="18" x14ac:dyDescent="0.25">
      <c r="B5" s="23" t="s">
        <v>375</v>
      </c>
      <c r="C5" s="24">
        <v>3</v>
      </c>
      <c r="D5" s="24"/>
      <c r="E5" s="25" t="s">
        <v>376</v>
      </c>
    </row>
    <row r="6" spans="2:7" ht="18" x14ac:dyDescent="0.25">
      <c r="B6" s="23" t="s">
        <v>377</v>
      </c>
      <c r="C6" s="24">
        <v>4</v>
      </c>
      <c r="D6" s="24"/>
      <c r="E6" s="25" t="s">
        <v>378</v>
      </c>
    </row>
    <row r="7" spans="2:7" ht="18" x14ac:dyDescent="0.25">
      <c r="B7" s="23" t="s">
        <v>379</v>
      </c>
      <c r="C7" s="24" t="s">
        <v>380</v>
      </c>
      <c r="D7" s="24"/>
      <c r="E7" s="25"/>
    </row>
    <row r="8" spans="2:7" ht="18" x14ac:dyDescent="0.25">
      <c r="B8" s="23"/>
      <c r="C8" s="24"/>
      <c r="D8" s="24"/>
      <c r="E8" s="25"/>
    </row>
    <row r="9" spans="2:7" ht="18" x14ac:dyDescent="0.25">
      <c r="B9" s="23"/>
      <c r="C9" s="24"/>
      <c r="D9" s="24"/>
      <c r="E9" s="25"/>
    </row>
    <row r="10" spans="2:7" ht="18" x14ac:dyDescent="0.25">
      <c r="B10" s="23" t="s">
        <v>381</v>
      </c>
      <c r="C10" s="24">
        <v>0</v>
      </c>
      <c r="D10" s="24"/>
      <c r="E10" s="26">
        <v>0</v>
      </c>
    </row>
    <row r="11" spans="2:7" ht="18.75" thickBot="1" x14ac:dyDescent="0.3">
      <c r="B11" s="27" t="s">
        <v>382</v>
      </c>
      <c r="C11" s="28">
        <v>4</v>
      </c>
      <c r="D11" s="28"/>
      <c r="E11" s="29">
        <v>1</v>
      </c>
    </row>
  </sheetData>
  <sheetProtection algorithmName="SHA-512" hashValue="9FvFOphflrAYDY5YCIUluyovV0bn5rKib1JcW0j3FtU8pPW/y5oQZCg/g/iMVsIvJji7vsA7BDl+OWSg+kxX+Q==" saltValue="oEFDMi79XOTxxdVj2YwuhA==" spinCount="100000" sheet="1" objects="1" scenarios="1"/>
  <phoneticPr fontId="1" type="noConversion"/>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6CF4D2E930FD6147BDF82372174C5ED5" ma:contentTypeVersion="16" ma:contentTypeDescription="Crear nuevo documento." ma:contentTypeScope="" ma:versionID="cecb4e0841a4cd57a5231407d32d8b22">
  <xsd:schema xmlns:xsd="http://www.w3.org/2001/XMLSchema" xmlns:xs="http://www.w3.org/2001/XMLSchema" xmlns:p="http://schemas.microsoft.com/office/2006/metadata/properties" xmlns:ns2="a399c972-f8fa-47d2-ba15-00a33e7cdd56" xmlns:ns3="9413c2ab-86ea-40c3-9f1e-e2ad1f1f959c" targetNamespace="http://schemas.microsoft.com/office/2006/metadata/properties" ma:root="true" ma:fieldsID="5e5b2597c49e940e1125d3493b3db5a5" ns2:_="" ns3:_="">
    <xsd:import namespace="a399c972-f8fa-47d2-ba15-00a33e7cdd56"/>
    <xsd:import namespace="9413c2ab-86ea-40c3-9f1e-e2ad1f1f959c"/>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99c972-f8fa-47d2-ba15-00a33e7cdd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13c2ab-86ea-40c3-9f1e-e2ad1f1f959c"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1" nillable="true" ma:displayName="Taxonomy Catch All Column" ma:hidden="true" ma:list="{04a81e1d-0292-406e-943e-bf269a26fcbd}" ma:internalName="TaxCatchAll" ma:showField="CatchAllData" ma:web="9413c2ab-86ea-40c3-9f1e-e2ad1f1f95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413c2ab-86ea-40c3-9f1e-e2ad1f1f959c" xsi:nil="true"/>
    <lcf76f155ced4ddcb4097134ff3c332f xmlns="a399c972-f8fa-47d2-ba15-00a33e7cdd56">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895221-31A7-4D52-900F-E2987AB2ED8C}">
  <ds:schemaRefs>
    <ds:schemaRef ds:uri="http://schemas.microsoft.com/office/2006/metadata/longProperties"/>
  </ds:schemaRefs>
</ds:datastoreItem>
</file>

<file path=customXml/itemProps2.xml><?xml version="1.0" encoding="utf-8"?>
<ds:datastoreItem xmlns:ds="http://schemas.openxmlformats.org/officeDocument/2006/customXml" ds:itemID="{29E4E230-C527-499E-B329-D8AB0FE630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99c972-f8fa-47d2-ba15-00a33e7cdd56"/>
    <ds:schemaRef ds:uri="9413c2ab-86ea-40c3-9f1e-e2ad1f1f95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B191824-3823-49F1-949D-62A13AE20031}">
  <ds:schemaRefs>
    <ds:schemaRef ds:uri="http://schemas.microsoft.com/office/2006/metadata/properties"/>
    <ds:schemaRef ds:uri="http://schemas.microsoft.com/office/infopath/2007/PartnerControls"/>
    <ds:schemaRef ds:uri="9413c2ab-86ea-40c3-9f1e-e2ad1f1f959c"/>
    <ds:schemaRef ds:uri="a399c972-f8fa-47d2-ba15-00a33e7cdd56"/>
  </ds:schemaRefs>
</ds:datastoreItem>
</file>

<file path=customXml/itemProps4.xml><?xml version="1.0" encoding="utf-8"?>
<ds:datastoreItem xmlns:ds="http://schemas.openxmlformats.org/officeDocument/2006/customXml" ds:itemID="{E3A63402-4C0F-43FD-9FD4-E84DF11C3E1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43</vt:i4>
      </vt:variant>
    </vt:vector>
  </HeadingPairs>
  <TitlesOfParts>
    <vt:vector size="47" baseType="lpstr">
      <vt:lpstr>INTRODUCCIÓN</vt:lpstr>
      <vt:lpstr>CUESTIONARIO</vt:lpstr>
      <vt:lpstr>INTERPRETACIÓN DEL DIAGNÓSTICO</vt:lpstr>
      <vt:lpstr>CRITERIOS DE CALIFICACIÓN</vt:lpstr>
      <vt:lpstr>CUESTIONARIO!Área_de_impresión</vt:lpstr>
      <vt:lpstr>Fullskala</vt:lpstr>
      <vt:lpstr>CUESTIONARIO!OLE_LINK3</vt:lpstr>
      <vt:lpstr>Score_ISBR1</vt:lpstr>
      <vt:lpstr>Score_ISBR10</vt:lpstr>
      <vt:lpstr>Score_ISBR11</vt:lpstr>
      <vt:lpstr>Score_ISBR12</vt:lpstr>
      <vt:lpstr>Score_ISBR13</vt:lpstr>
      <vt:lpstr>Score_ISBR14</vt:lpstr>
      <vt:lpstr>Score_ISBR15</vt:lpstr>
      <vt:lpstr>Score_ISBR16</vt:lpstr>
      <vt:lpstr>Score_ISBR17</vt:lpstr>
      <vt:lpstr>Score_ISBR18</vt:lpstr>
      <vt:lpstr>Score_ISBR19</vt:lpstr>
      <vt:lpstr>Score_ISBR2</vt:lpstr>
      <vt:lpstr>Score_ISBR3</vt:lpstr>
      <vt:lpstr>Score_ISBR4</vt:lpstr>
      <vt:lpstr>Score_ISBR5</vt:lpstr>
      <vt:lpstr>Score_ISBR6</vt:lpstr>
      <vt:lpstr>Score_ISBR7</vt:lpstr>
      <vt:lpstr>Score_ISBR8</vt:lpstr>
      <vt:lpstr>Score_ISBR9</vt:lpstr>
      <vt:lpstr>SÍ</vt:lpstr>
      <vt:lpstr>Title_ISBR1</vt:lpstr>
      <vt:lpstr>Title_ISBR10</vt:lpstr>
      <vt:lpstr>Title_ISBR11</vt:lpstr>
      <vt:lpstr>Title_ISBR12</vt:lpstr>
      <vt:lpstr>Title_ISBR13</vt:lpstr>
      <vt:lpstr>Title_ISBR14</vt:lpstr>
      <vt:lpstr>Title_ISBR15</vt:lpstr>
      <vt:lpstr>Title_ISBR16</vt:lpstr>
      <vt:lpstr>Title_ISBR17</vt:lpstr>
      <vt:lpstr>Title_ISBR18</vt:lpstr>
      <vt:lpstr>Title_ISBR19</vt:lpstr>
      <vt:lpstr>Title_ISBR2</vt:lpstr>
      <vt:lpstr>Title_ISBR3</vt:lpstr>
      <vt:lpstr>Title_ISBR4</vt:lpstr>
      <vt:lpstr>Title_ISBR5</vt:lpstr>
      <vt:lpstr>Title_ISBR6</vt:lpstr>
      <vt:lpstr>Title_ISBR7</vt:lpstr>
      <vt:lpstr>Title_ISBR8</vt:lpstr>
      <vt:lpstr>Title_ISBR9</vt:lpstr>
      <vt:lpstr>yesno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Casandra Aldana</cp:lastModifiedBy>
  <cp:revision/>
  <dcterms:created xsi:type="dcterms:W3CDTF">2006-10-31T09:44:13Z</dcterms:created>
  <dcterms:modified xsi:type="dcterms:W3CDTF">2024-09-11T21:58:43Z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0x0101006CF4D2E930FD6147BDF82372174C5ED5</vt:lpwstr>
  </property>
  <property fmtid="{D5CDD505-2E9C-101B-9397-08002B2CF9AE}" pid="4" name="IsMyDocuments">
    <vt:lpwstr>1</vt:lpwstr>
  </property>
  <property fmtid="{D5CDD505-2E9C-101B-9397-08002B2CF9AE}" pid="5" name="TaxKeyword">
    <vt:lpwstr>2552;#Information Security PCSS ICT Assessment|ab3ecf40-f493-4442-8a58-e0b96a4d56ae</vt:lpwstr>
  </property>
  <property fmtid="{D5CDD505-2E9C-101B-9397-08002B2CF9AE}" pid="6" name="NhoMmdCaseWorker">
    <vt:lpwstr>1966;#Reidulf Klovning|b958d2b5-645c-4f94-af4d-1ecf1a032189</vt:lpwstr>
  </property>
  <property fmtid="{D5CDD505-2E9C-101B-9397-08002B2CF9AE}" pid="7" name="NHO_OrganisationUnit">
    <vt:lpwstr>1140;#Norsk olje og gass|cb1b13eb-8e47-4d30-9a54-b74a620ca936</vt:lpwstr>
  </property>
  <property fmtid="{D5CDD505-2E9C-101B-9397-08002B2CF9AE}" pid="8" name="_dlc_DocId">
    <vt:lpwstr>ARENA-416-4880</vt:lpwstr>
  </property>
  <property fmtid="{D5CDD505-2E9C-101B-9397-08002B2CF9AE}" pid="9" name="_dlc_DocIdItemGuid">
    <vt:lpwstr>a9e56703-c5b0-4791-beb0-a7a0608c2144</vt:lpwstr>
  </property>
  <property fmtid="{D5CDD505-2E9C-101B-9397-08002B2CF9AE}" pid="10" name="_dlc_DocIdUrl">
    <vt:lpwstr>https://arenarom.nho.no/rom/norog/_layouts/DocIdRedir.aspx?ID=ARENA-416-4880, ARENA-416-4880</vt:lpwstr>
  </property>
  <property fmtid="{D5CDD505-2E9C-101B-9397-08002B2CF9AE}" pid="11" name="MediaServiceImageTags">
    <vt:lpwstr/>
  </property>
</Properties>
</file>